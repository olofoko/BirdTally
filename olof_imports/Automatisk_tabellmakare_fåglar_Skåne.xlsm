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ekologigruppen-my.sharepoint.com/personal/olof_astrom_ekologigruppen_se1/Documents/Olof/Egna mallar/Excelmallar/"/>
    </mc:Choice>
  </mc:AlternateContent>
  <xr:revisionPtr revIDLastSave="5" documentId="8_{CBD14936-1F1C-4724-969B-3D03F67B4826}" xr6:coauthVersionLast="47" xr6:coauthVersionMax="47" xr10:uidLastSave="{10BA70CF-1E28-41ED-951B-D7CCC62BAAB7}"/>
  <bookViews>
    <workbookView xWindow="-108" yWindow="-108" windowWidth="23256" windowHeight="12456" xr2:uid="{00000000-000D-0000-FFFF-FFFF00000000}"/>
  </bookViews>
  <sheets>
    <sheet name="INSTRUKTIONER" sheetId="9" r:id="rId1"/>
    <sheet name="Rapporttabell" sheetId="8" r:id="rId2"/>
    <sheet name="Observations" sheetId="1" r:id="rId3"/>
    <sheet name="Skåne_NVR_arter" sheetId="5" r:id="rId4"/>
    <sheet name="Aktiviteter" sheetId="6" r:id="rId5"/>
  </sheets>
  <definedNames>
    <definedName name="_xleta.N" hidden="1" xlm="1">#NAME?</definedName>
    <definedName name="_xleta.T" hidden="1" xlm="1">#NAME?</definedName>
    <definedName name="_xleta.TAKE" hidden="1" xlm="1">#NAME?</definedName>
    <definedName name="_xleta.TRIM" hidden="1" xlm="1">#NAME?</definedName>
    <definedName name="_xlpm.alla" hidden="1" xlm="1">#NAME?</definedName>
    <definedName name="_xlpm.art" hidden="1" xlm="1">#NAME?</definedName>
    <definedName name="_xlpm.arter" hidden="1" xlm="1">#NAME?</definedName>
    <definedName name="_xlpm.ordning" hidden="1" xlm="1">#NAME?</definedName>
    <definedName name="_xlpm.slut" hidden="1" xlm="1">#NAME?</definedName>
    <definedName name="_xlpm.sorterade" hidden="1" xlm="1">#NAME?</definedName>
    <definedName name="_xlpm.start" hidden="1" xlm="1">#NAME?</definedName>
    <definedName name="_xlpm.unika" hidden="1" xlm="1">#NAME?</definedName>
    <definedName name="_xlpm.år"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8" l="1" a="1"/>
  <c r="C2" i="8" l="1" a="1"/>
  <c r="C2" i="8" s="1"/>
  <c r="A2" i="8"/>
  <c r="B2" i="8" s="1" a="1"/>
  <c r="B2" i="8" s="1"/>
  <c r="E2" i="8" a="1"/>
  <c r="E2" i="8" s="1"/>
  <c r="D2" i="8" l="1" a="1"/>
  <c r="D2" i="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<sst xmlns="http://schemas.openxmlformats.org/spreadsheetml/2006/main" count="11587" uniqueCount="1460">
  <si>
    <t>Observation GUID</t>
  </si>
  <si>
    <t>Påträffad</t>
  </si>
  <si>
    <t>Taxon ID</t>
  </si>
  <si>
    <t>Vetenskapligt namn</t>
  </si>
  <si>
    <t>Svenskt namn</t>
  </si>
  <si>
    <t>Taxonkategori</t>
  </si>
  <si>
    <t>Organismgrupp</t>
  </si>
  <si>
    <t>Rödlistekategori</t>
  </si>
  <si>
    <t>Observationens skyddsklass</t>
  </si>
  <si>
    <t>Startdatum</t>
  </si>
  <si>
    <t>Slutdatum</t>
  </si>
  <si>
    <t>Starttid</t>
  </si>
  <si>
    <t>Sluttid</t>
  </si>
  <si>
    <t>WGS84 decimal (lat)</t>
  </si>
  <si>
    <t>WGS84 decimal (lon)</t>
  </si>
  <si>
    <t>SWEREF99TM X (öst)</t>
  </si>
  <si>
    <t>SWEREF99TM Y (nord)</t>
  </si>
  <si>
    <t>Geodetiskt datum</t>
  </si>
  <si>
    <t>Koordinatnoggrannhet (m)</t>
  </si>
  <si>
    <t>Lokal</t>
  </si>
  <si>
    <t>Församling</t>
  </si>
  <si>
    <t>Kommun</t>
  </si>
  <si>
    <t>Län</t>
  </si>
  <si>
    <t>Landskap</t>
  </si>
  <si>
    <t>Observatör</t>
  </si>
  <si>
    <t>Antal individer</t>
  </si>
  <si>
    <t>Organismkvantitet</t>
  </si>
  <si>
    <t>Organismkvantitetsenhet</t>
  </si>
  <si>
    <t>Stadium/ålder</t>
  </si>
  <si>
    <t>Kön</t>
  </si>
  <si>
    <t>Aktivitet (Artportalen)</t>
  </si>
  <si>
    <t>Verifieringsstatus</t>
  </si>
  <si>
    <t>Osäker artbestämning</t>
  </si>
  <si>
    <t>Aldrig funnen</t>
  </si>
  <si>
    <t>Ej återfunnen</t>
  </si>
  <si>
    <t>Projekt1 Namn</t>
  </si>
  <si>
    <t>Dataset namn</t>
  </si>
  <si>
    <t>Diffuserad</t>
  </si>
  <si>
    <t>Skyddad</t>
  </si>
  <si>
    <t>Prunella modularis</t>
  </si>
  <si>
    <t>järnsparv</t>
  </si>
  <si>
    <t>NT</t>
  </si>
  <si>
    <t>spel/sång</t>
  </si>
  <si>
    <t>pulli/nyligen flygga ungar</t>
  </si>
  <si>
    <t>Circus aeruginosus</t>
  </si>
  <si>
    <t>brun kärrhök</t>
  </si>
  <si>
    <t>LC</t>
  </si>
  <si>
    <t>Picus viridis</t>
  </si>
  <si>
    <t>gröngöling</t>
  </si>
  <si>
    <t>Podiceps grisegena</t>
  </si>
  <si>
    <t>gråhakedopping</t>
  </si>
  <si>
    <t>par i lämplig häckbiotop</t>
  </si>
  <si>
    <t>bobygge</t>
  </si>
  <si>
    <t>Lullula arborea</t>
  </si>
  <si>
    <t>trädlärka</t>
  </si>
  <si>
    <t>Streptopelia decaocto</t>
  </si>
  <si>
    <t>turkduva</t>
  </si>
  <si>
    <t>permanent revir</t>
  </si>
  <si>
    <t>Cygnus olor</t>
  </si>
  <si>
    <t>knölsvan</t>
  </si>
  <si>
    <t>Thinornis dubius</t>
  </si>
  <si>
    <t>mindre strandpipare</t>
  </si>
  <si>
    <t>besöker bebott bo</t>
  </si>
  <si>
    <t>Observerad år</t>
  </si>
  <si>
    <t>Taxon id</t>
  </si>
  <si>
    <t>Global sorteringsordning</t>
  </si>
  <si>
    <t>Observationer</t>
  </si>
  <si>
    <t>RedListCategory</t>
  </si>
  <si>
    <t>RK/FD/LLP?</t>
  </si>
  <si>
    <t>Indikatorvärde EDB_nr</t>
  </si>
  <si>
    <t>Obetydligt</t>
  </si>
  <si>
    <t>Cygnus columbianus</t>
  </si>
  <si>
    <t>mindre sångsvan</t>
  </si>
  <si>
    <t>NA</t>
  </si>
  <si>
    <t>Cygnus cygnus</t>
  </si>
  <si>
    <t>sångsvan</t>
  </si>
  <si>
    <t>Visst</t>
  </si>
  <si>
    <t>Branta leucopsis</t>
  </si>
  <si>
    <t>vitkindad gås</t>
  </si>
  <si>
    <t>Anser erythropus</t>
  </si>
  <si>
    <t>fjällgås</t>
  </si>
  <si>
    <t>EN</t>
  </si>
  <si>
    <t>Mycket högt</t>
  </si>
  <si>
    <t>Anser fabalis</t>
  </si>
  <si>
    <t>skogsgås</t>
  </si>
  <si>
    <t>VU</t>
  </si>
  <si>
    <t>Tadorna tadorna</t>
  </si>
  <si>
    <t>gravand</t>
  </si>
  <si>
    <t>Påtagligt</t>
  </si>
  <si>
    <t>Clangula hyemalis</t>
  </si>
  <si>
    <t>alfågel</t>
  </si>
  <si>
    <t>Högt</t>
  </si>
  <si>
    <t>Somateria mollissima</t>
  </si>
  <si>
    <t>ejder</t>
  </si>
  <si>
    <t>Mergellus albellus</t>
  </si>
  <si>
    <t>salskrake</t>
  </si>
  <si>
    <t>Mergus serrator</t>
  </si>
  <si>
    <t>småskrake</t>
  </si>
  <si>
    <t>Mergus merganser</t>
  </si>
  <si>
    <t>storskrake</t>
  </si>
  <si>
    <t>Aythya ferina</t>
  </si>
  <si>
    <t>brunand</t>
  </si>
  <si>
    <t>Aythya fuligula</t>
  </si>
  <si>
    <t>vigg</t>
  </si>
  <si>
    <t>Aythya marila</t>
  </si>
  <si>
    <t>bergand</t>
  </si>
  <si>
    <t>Spatula querquedula</t>
  </si>
  <si>
    <t>årta</t>
  </si>
  <si>
    <t>Spatula clypeata</t>
  </si>
  <si>
    <t>skedand</t>
  </si>
  <si>
    <t>Mareca strepera</t>
  </si>
  <si>
    <t>snatterand</t>
  </si>
  <si>
    <t>Mareca penelope</t>
  </si>
  <si>
    <t>bläsand</t>
  </si>
  <si>
    <t>Anas acuta</t>
  </si>
  <si>
    <t>stjärtand</t>
  </si>
  <si>
    <t>Anas crecca</t>
  </si>
  <si>
    <t>kricka</t>
  </si>
  <si>
    <t>Tetrastes bonasia</t>
  </si>
  <si>
    <t>järpe</t>
  </si>
  <si>
    <t>Tetrao urogallus</t>
  </si>
  <si>
    <t>tjäder</t>
  </si>
  <si>
    <t>Lyrurus tetrix</t>
  </si>
  <si>
    <t>orre</t>
  </si>
  <si>
    <t>Coturnix coturnix</t>
  </si>
  <si>
    <t>vaktel</t>
  </si>
  <si>
    <t>Tachybaptus ruficollis</t>
  </si>
  <si>
    <t>smådopping</t>
  </si>
  <si>
    <t>LC°</t>
  </si>
  <si>
    <t>Podiceps auritus</t>
  </si>
  <si>
    <t>svarthakedopping</t>
  </si>
  <si>
    <t>Podiceps cristatus</t>
  </si>
  <si>
    <t>skäggdopping</t>
  </si>
  <si>
    <t>Podiceps nigricollis</t>
  </si>
  <si>
    <t>svarthalsad dopping</t>
  </si>
  <si>
    <t>Otis tarda</t>
  </si>
  <si>
    <t>stortrapp</t>
  </si>
  <si>
    <t>RE</t>
  </si>
  <si>
    <t>Grus grus</t>
  </si>
  <si>
    <t>trana</t>
  </si>
  <si>
    <t>Rallus aquaticus</t>
  </si>
  <si>
    <t>vattenrall</t>
  </si>
  <si>
    <t>Crex crex</t>
  </si>
  <si>
    <t>kornknarr</t>
  </si>
  <si>
    <t>Porzana porzana</t>
  </si>
  <si>
    <t>småfläckig sumphöna</t>
  </si>
  <si>
    <t>Zapornia parva</t>
  </si>
  <si>
    <t>mindre sumphöna</t>
  </si>
  <si>
    <t>Recurvirostra avosetta</t>
  </si>
  <si>
    <t>skärfläcka</t>
  </si>
  <si>
    <t>Haematopus ostralegus</t>
  </si>
  <si>
    <t>strandskata</t>
  </si>
  <si>
    <t>Pluvialis apricaria</t>
  </si>
  <si>
    <t>ljungpipare</t>
  </si>
  <si>
    <t>Eudromias morinellus</t>
  </si>
  <si>
    <t>fjällpipare</t>
  </si>
  <si>
    <t>Charadrius hiaticula</t>
  </si>
  <si>
    <t>större strandpipare</t>
  </si>
  <si>
    <t>Vanellus vanellus</t>
  </si>
  <si>
    <t>tofsvipa</t>
  </si>
  <si>
    <t>Anarhynchus alexandrinus</t>
  </si>
  <si>
    <t>svartbent strandpipare</t>
  </si>
  <si>
    <t>Numenius arquata</t>
  </si>
  <si>
    <t>storspov</t>
  </si>
  <si>
    <t>Limosa lapponica</t>
  </si>
  <si>
    <t>myrspov</t>
  </si>
  <si>
    <t>Limosa limosa</t>
  </si>
  <si>
    <t>rödspov</t>
  </si>
  <si>
    <t>Gallinago media</t>
  </si>
  <si>
    <t>dubbelbeckasin</t>
  </si>
  <si>
    <t>Gallinago gallinago</t>
  </si>
  <si>
    <t>enkelbeckasin</t>
  </si>
  <si>
    <t>Actitis hypoleucos</t>
  </si>
  <si>
    <t>drillsnäppa</t>
  </si>
  <si>
    <t>Phalaropus lobatus</t>
  </si>
  <si>
    <t>smalnäbbad simsnäppa</t>
  </si>
  <si>
    <t>Tringa glareola</t>
  </si>
  <si>
    <t>grönbena</t>
  </si>
  <si>
    <t>Tringa totanus</t>
  </si>
  <si>
    <t>rödbena</t>
  </si>
  <si>
    <t>Tringa erythropus</t>
  </si>
  <si>
    <t>svartsnäppa</t>
  </si>
  <si>
    <t>Arenaria interpres</t>
  </si>
  <si>
    <t>roskarl</t>
  </si>
  <si>
    <t>Calidris pugnax</t>
  </si>
  <si>
    <t>brushane</t>
  </si>
  <si>
    <t>Calidris falcinellus</t>
  </si>
  <si>
    <t>myrsnäppa</t>
  </si>
  <si>
    <t>Calidris temminckii</t>
  </si>
  <si>
    <t>mosnäppa</t>
  </si>
  <si>
    <t>Stercorarius parasiticus</t>
  </si>
  <si>
    <t>kustlabb</t>
  </si>
  <si>
    <t>Fratercula arctica</t>
  </si>
  <si>
    <t>lunnefågel</t>
  </si>
  <si>
    <t>Cepphus grylle</t>
  </si>
  <si>
    <t>tobisgrissla</t>
  </si>
  <si>
    <t>Alca torda</t>
  </si>
  <si>
    <t>tordmule</t>
  </si>
  <si>
    <t>Uria aalge</t>
  </si>
  <si>
    <t>sillgrissla</t>
  </si>
  <si>
    <t>Sternula albifrons</t>
  </si>
  <si>
    <t>småtärna</t>
  </si>
  <si>
    <t>Hydroprogne caspia</t>
  </si>
  <si>
    <t>skräntärna</t>
  </si>
  <si>
    <t>Chlidonias niger</t>
  </si>
  <si>
    <t>svarttärna</t>
  </si>
  <si>
    <t>Thalasseus sandvicensis</t>
  </si>
  <si>
    <t>kentsk tärna</t>
  </si>
  <si>
    <t>Sterna paradisaea</t>
  </si>
  <si>
    <t>silvertärna</t>
  </si>
  <si>
    <t>Sterna hirundo</t>
  </si>
  <si>
    <t>fisktärna</t>
  </si>
  <si>
    <t>Hydrocoloeus minutus</t>
  </si>
  <si>
    <t>dvärgmås</t>
  </si>
  <si>
    <t>Rissa tridactyla</t>
  </si>
  <si>
    <t>tretåig mås</t>
  </si>
  <si>
    <t>Chroicocephalus ridibundus</t>
  </si>
  <si>
    <t>skrattmås</t>
  </si>
  <si>
    <t>Larus argentatus</t>
  </si>
  <si>
    <t>gråtrut</t>
  </si>
  <si>
    <t>Larus marinus</t>
  </si>
  <si>
    <t>havstrut</t>
  </si>
  <si>
    <t>Larus fuscus</t>
  </si>
  <si>
    <t>silltrut</t>
  </si>
  <si>
    <t>Gavia stellata</t>
  </si>
  <si>
    <t>smålom</t>
  </si>
  <si>
    <t>Gavia arctica</t>
  </si>
  <si>
    <t>storlom</t>
  </si>
  <si>
    <t>Ciconia nigra</t>
  </si>
  <si>
    <t>svart stork</t>
  </si>
  <si>
    <t>Ciconia ciconia</t>
  </si>
  <si>
    <t>vit stork</t>
  </si>
  <si>
    <t>Gulosus aristotelis</t>
  </si>
  <si>
    <t>toppskarv</t>
  </si>
  <si>
    <t>Botaurus stellaris</t>
  </si>
  <si>
    <t>rördrom</t>
  </si>
  <si>
    <t>Ardea alba</t>
  </si>
  <si>
    <t>ägretthäger</t>
  </si>
  <si>
    <t>NT°</t>
  </si>
  <si>
    <t>Ardea cinerea</t>
  </si>
  <si>
    <t>gråhäger</t>
  </si>
  <si>
    <t>Caprimulgus europaeus</t>
  </si>
  <si>
    <t>nattskärra</t>
  </si>
  <si>
    <t>Apus apus</t>
  </si>
  <si>
    <t>tornseglare</t>
  </si>
  <si>
    <t>Tyto alba</t>
  </si>
  <si>
    <t>tornuggla</t>
  </si>
  <si>
    <t>Aegolius funereus</t>
  </si>
  <si>
    <t>pärluggla</t>
  </si>
  <si>
    <t>Surnia ulula</t>
  </si>
  <si>
    <t>hökuggla</t>
  </si>
  <si>
    <t>Glaucidium passerinum</t>
  </si>
  <si>
    <t>sparvuggla</t>
  </si>
  <si>
    <t>Asio flammeus</t>
  </si>
  <si>
    <t>jorduggla</t>
  </si>
  <si>
    <t>Asio otus</t>
  </si>
  <si>
    <t>hornuggla</t>
  </si>
  <si>
    <t>Bubo scandiacus</t>
  </si>
  <si>
    <t>fjälluggla</t>
  </si>
  <si>
    <t>Bubo bubo</t>
  </si>
  <si>
    <t>berguv</t>
  </si>
  <si>
    <t>Strix uralensis</t>
  </si>
  <si>
    <t>slaguggla</t>
  </si>
  <si>
    <t>Strix nebulosa</t>
  </si>
  <si>
    <t>lappuggla</t>
  </si>
  <si>
    <t>Pandion haliaetus</t>
  </si>
  <si>
    <t>fiskgjuse</t>
  </si>
  <si>
    <t>Pernis apivorus</t>
  </si>
  <si>
    <t>bivråk</t>
  </si>
  <si>
    <t>Clanga clanga</t>
  </si>
  <si>
    <t>större skrikörn</t>
  </si>
  <si>
    <t>Aquila chrysaetos</t>
  </si>
  <si>
    <t>kungsörn</t>
  </si>
  <si>
    <t>Astur gentilis</t>
  </si>
  <si>
    <t>duvhök</t>
  </si>
  <si>
    <t>Circus cyaneus</t>
  </si>
  <si>
    <t>blå kärrhök</t>
  </si>
  <si>
    <t>Circus pygargus</t>
  </si>
  <si>
    <t>ängshök</t>
  </si>
  <si>
    <t>Milvus milvus</t>
  </si>
  <si>
    <t>röd glada</t>
  </si>
  <si>
    <t>Milvus migrans</t>
  </si>
  <si>
    <t>brun glada</t>
  </si>
  <si>
    <t>Haliaeetus albicilla</t>
  </si>
  <si>
    <t>havsörn</t>
  </si>
  <si>
    <t>Upupa epops</t>
  </si>
  <si>
    <t>härfågel</t>
  </si>
  <si>
    <t>Coracias garrulus</t>
  </si>
  <si>
    <t>blåkråka</t>
  </si>
  <si>
    <t>Alcedo atthis</t>
  </si>
  <si>
    <t>kungsfiskare</t>
  </si>
  <si>
    <t>Jynx torquilla</t>
  </si>
  <si>
    <t>göktyta</t>
  </si>
  <si>
    <t>Picus canus</t>
  </si>
  <si>
    <t>gråspett</t>
  </si>
  <si>
    <t>Dryocopus martius</t>
  </si>
  <si>
    <t>spillkråka</t>
  </si>
  <si>
    <t>Picoides tridactylus</t>
  </si>
  <si>
    <t>tretåig hackspett</t>
  </si>
  <si>
    <t>Dendrocoptes medius</t>
  </si>
  <si>
    <t>mellanspett</t>
  </si>
  <si>
    <t>Dendrocopos leucotos</t>
  </si>
  <si>
    <t>vitryggig hackspett</t>
  </si>
  <si>
    <t>CR</t>
  </si>
  <si>
    <t>Dryobates minor</t>
  </si>
  <si>
    <t>mindre hackspett</t>
  </si>
  <si>
    <t>Falco tinnunculus</t>
  </si>
  <si>
    <t>tornfalk</t>
  </si>
  <si>
    <t>Falco columbarius</t>
  </si>
  <si>
    <t>stenfalk</t>
  </si>
  <si>
    <t>Falco subbuteo</t>
  </si>
  <si>
    <t>lärkfalk</t>
  </si>
  <si>
    <t>Falco peregrinus</t>
  </si>
  <si>
    <t>pilgrimsfalk</t>
  </si>
  <si>
    <t>Falco rusticolus</t>
  </si>
  <si>
    <t>jaktfalk</t>
  </si>
  <si>
    <t>Oriolus oriolus</t>
  </si>
  <si>
    <t>sommargylling</t>
  </si>
  <si>
    <t>Lanius collurio</t>
  </si>
  <si>
    <t>törnskata</t>
  </si>
  <si>
    <t>Perisoreus infaustus</t>
  </si>
  <si>
    <t>lavskrika</t>
  </si>
  <si>
    <t>Nucifraga caryocatactes</t>
  </si>
  <si>
    <t>nötkråka</t>
  </si>
  <si>
    <t>Corvus corax</t>
  </si>
  <si>
    <t>korp</t>
  </si>
  <si>
    <t>Remiz pendulinus</t>
  </si>
  <si>
    <t>pungmes</t>
  </si>
  <si>
    <t>Poecile palustris</t>
  </si>
  <si>
    <t>entita</t>
  </si>
  <si>
    <t>Poecile montanus</t>
  </si>
  <si>
    <t>talltita</t>
  </si>
  <si>
    <t>Poecile cinctus</t>
  </si>
  <si>
    <t>lappmes</t>
  </si>
  <si>
    <t>Panurus biarmicus</t>
  </si>
  <si>
    <t>skäggmes</t>
  </si>
  <si>
    <t>Galerida cristata</t>
  </si>
  <si>
    <t>tofslärka</t>
  </si>
  <si>
    <t>Eremophila alpestris</t>
  </si>
  <si>
    <t>berglärka</t>
  </si>
  <si>
    <t>Acrocephalus dumetorum</t>
  </si>
  <si>
    <t>busksångare</t>
  </si>
  <si>
    <t>Acrocephalus scirpaceus</t>
  </si>
  <si>
    <t>rörsångare</t>
  </si>
  <si>
    <t>Acrocephalus arundinaceus</t>
  </si>
  <si>
    <t>trastsångare</t>
  </si>
  <si>
    <t>Locustella fluviatilis</t>
  </si>
  <si>
    <t>flodsångare</t>
  </si>
  <si>
    <t>Locustella luscinioides</t>
  </si>
  <si>
    <t>vassångare</t>
  </si>
  <si>
    <t>Locustella naevia</t>
  </si>
  <si>
    <t>gräshoppsångare</t>
  </si>
  <si>
    <t>Riparia riparia</t>
  </si>
  <si>
    <t>backsvala</t>
  </si>
  <si>
    <t>Hirundo rustica</t>
  </si>
  <si>
    <t>ladusvala</t>
  </si>
  <si>
    <t>Delichon urbicum</t>
  </si>
  <si>
    <t>hussvala</t>
  </si>
  <si>
    <t>Phylloscopus sibilatrix</t>
  </si>
  <si>
    <t>grönsångare</t>
  </si>
  <si>
    <t>Phylloscopus trochiloides</t>
  </si>
  <si>
    <t>lundsångare</t>
  </si>
  <si>
    <t>Phylloscopus borealis</t>
  </si>
  <si>
    <t>nordsångare</t>
  </si>
  <si>
    <t>Curruca nisoria</t>
  </si>
  <si>
    <t>höksångare</t>
  </si>
  <si>
    <t>Certhia brachydactyla</t>
  </si>
  <si>
    <t>trädgårdsträdkrypare</t>
  </si>
  <si>
    <t>Sturnus vulgaris</t>
  </si>
  <si>
    <t>stare</t>
  </si>
  <si>
    <t>Cinclus cinclus</t>
  </si>
  <si>
    <t>strömstare</t>
  </si>
  <si>
    <t>Turdus iliacus</t>
  </si>
  <si>
    <t>rödvingetrast</t>
  </si>
  <si>
    <t>Turdus pilaris</t>
  </si>
  <si>
    <t>björktrast</t>
  </si>
  <si>
    <t>Luscinia svecica</t>
  </si>
  <si>
    <t>blåhake</t>
  </si>
  <si>
    <t>Ficedula parva</t>
  </si>
  <si>
    <t>mindre flugsnappare</t>
  </si>
  <si>
    <t>Ficedula albicollis</t>
  </si>
  <si>
    <t>halsbandsflugsnappare</t>
  </si>
  <si>
    <t>Tarsiger cyanurus</t>
  </si>
  <si>
    <t>tajgablåstjärt</t>
  </si>
  <si>
    <t>Phoenicurus ochruros</t>
  </si>
  <si>
    <t>svart rödstjärt</t>
  </si>
  <si>
    <t>Saxicola rubicola</t>
  </si>
  <si>
    <t>svarthakad buskskvätta</t>
  </si>
  <si>
    <t>Motacilla alba</t>
  </si>
  <si>
    <t>sädesärla</t>
  </si>
  <si>
    <t>Anthus campestris</t>
  </si>
  <si>
    <t>fältpiplärka</t>
  </si>
  <si>
    <t>Anthus cervinus</t>
  </si>
  <si>
    <t>rödstrupig piplärka</t>
  </si>
  <si>
    <t>Anthus petrosus</t>
  </si>
  <si>
    <t>skärpiplärka</t>
  </si>
  <si>
    <t>Carpodacus erythrinus</t>
  </si>
  <si>
    <t>rosenfink</t>
  </si>
  <si>
    <t>Chloris chloris</t>
  </si>
  <si>
    <t>grönfink</t>
  </si>
  <si>
    <t>Linaria flavirostris</t>
  </si>
  <si>
    <t>vinterhämpling</t>
  </si>
  <si>
    <t>Loxia pytyopsittacus</t>
  </si>
  <si>
    <t>större korsnäbb</t>
  </si>
  <si>
    <t>Serinus serinus</t>
  </si>
  <si>
    <t>gulhämpling</t>
  </si>
  <si>
    <t>Emberiza pusilla</t>
  </si>
  <si>
    <t>dvärgsparv</t>
  </si>
  <si>
    <t>Emberiza calandra</t>
  </si>
  <si>
    <t>kornsparv</t>
  </si>
  <si>
    <t>Emberiza hortulana</t>
  </si>
  <si>
    <t>ortolansparv</t>
  </si>
  <si>
    <t>CR°</t>
  </si>
  <si>
    <t>Emberiza citrinella</t>
  </si>
  <si>
    <t>gulsparv</t>
  </si>
  <si>
    <t>LC/LLP</t>
  </si>
  <si>
    <t>LC/FD</t>
  </si>
  <si>
    <t>EN/FD</t>
  </si>
  <si>
    <t>RE/FD</t>
  </si>
  <si>
    <t>VU/FD</t>
  </si>
  <si>
    <t>NT/FD</t>
  </si>
  <si>
    <t>NT°/FD</t>
  </si>
  <si>
    <t>CR/FD</t>
  </si>
  <si>
    <t>CR°/FD</t>
  </si>
  <si>
    <t>Aktivitet</t>
  </si>
  <si>
    <t>bo</t>
  </si>
  <si>
    <t>ägg/ungar</t>
  </si>
  <si>
    <t>hörda ungar</t>
  </si>
  <si>
    <t>misslyckad häckning</t>
  </si>
  <si>
    <t>ruvande</t>
  </si>
  <si>
    <t>äggskal</t>
  </si>
  <si>
    <t>föda åt ungar</t>
  </si>
  <si>
    <t>bär exkrementsäck</t>
  </si>
  <si>
    <t>nyligen använt bo</t>
  </si>
  <si>
    <t>avledningsbeteende</t>
  </si>
  <si>
    <t>ruvfläckar</t>
  </si>
  <si>
    <t>upprörd</t>
  </si>
  <si>
    <t>varnande</t>
  </si>
  <si>
    <t>bobesök?</t>
  </si>
  <si>
    <t>parning/parningsceremonier</t>
  </si>
  <si>
    <t>obs i häcktid</t>
  </si>
  <si>
    <t>lämplig biotop</t>
  </si>
  <si>
    <t>rastande</t>
  </si>
  <si>
    <t>stationär</t>
  </si>
  <si>
    <t>förbiflygande</t>
  </si>
  <si>
    <t>födosökande</t>
  </si>
  <si>
    <t>lockläte</t>
  </si>
  <si>
    <t>övriga läten</t>
  </si>
  <si>
    <t>övernattning</t>
  </si>
  <si>
    <t>revir</t>
  </si>
  <si>
    <t>ej häckning</t>
  </si>
  <si>
    <t>ringmärktes</t>
  </si>
  <si>
    <t>individmärkt</t>
  </si>
  <si>
    <t>sträckförsök</t>
  </si>
  <si>
    <t>sträckande</t>
  </si>
  <si>
    <t>sträckande N</t>
  </si>
  <si>
    <t>sträckande NO</t>
  </si>
  <si>
    <t>sträckande O</t>
  </si>
  <si>
    <t>sträckande SO</t>
  </si>
  <si>
    <t>sträckande S</t>
  </si>
  <si>
    <t>sträckande SV</t>
  </si>
  <si>
    <t>sträckande V</t>
  </si>
  <si>
    <t>sträckande NV</t>
  </si>
  <si>
    <t>död</t>
  </si>
  <si>
    <t>krockat med kraftledning</t>
  </si>
  <si>
    <t>krockat med vindkraftverk</t>
  </si>
  <si>
    <t>krockat med fönster</t>
  </si>
  <si>
    <t>krockat med fyr</t>
  </si>
  <si>
    <t>trafikdödad</t>
  </si>
  <si>
    <t>krockat med flygplan</t>
  </si>
  <si>
    <t>krockat med staket</t>
  </si>
  <si>
    <t>dödad av elektricitet</t>
  </si>
  <si>
    <t>drunknad i fiskenät</t>
  </si>
  <si>
    <t>dödad av predator</t>
  </si>
  <si>
    <t>död av sjukdom/svält</t>
  </si>
  <si>
    <t>funnen död</t>
  </si>
  <si>
    <t>färska spår</t>
  </si>
  <si>
    <t>äldre spår</t>
  </si>
  <si>
    <t>färsk spillning</t>
  </si>
  <si>
    <t>äldre spillning</t>
  </si>
  <si>
    <t>gammalt bo</t>
  </si>
  <si>
    <t>Sort_order</t>
  </si>
  <si>
    <t>RK/FD/LLP</t>
  </si>
  <si>
    <t>Förekomst/häckningsstatus</t>
  </si>
  <si>
    <t>Art</t>
  </si>
  <si>
    <t>Antal obs</t>
  </si>
  <si>
    <t>Indikatorvärde EDB</t>
  </si>
  <si>
    <t>urn:lsid:artportalen.se:sighting:23312798</t>
  </si>
  <si>
    <t>species</t>
  </si>
  <si>
    <t>Fåglar</t>
  </si>
  <si>
    <t>EPSG:4326</t>
  </si>
  <si>
    <t>Fylan, Fyledalen, Sk</t>
  </si>
  <si>
    <t>Baldringe</t>
  </si>
  <si>
    <t>Ystad</t>
  </si>
  <si>
    <t>Skåne</t>
  </si>
  <si>
    <t>Charlotte Lindström</t>
  </si>
  <si>
    <t>Ovaliderad</t>
  </si>
  <si>
    <t>Artportalen</t>
  </si>
  <si>
    <t>urn:lsid:artportalen.se:sighting:41720308</t>
  </si>
  <si>
    <t>600 m NV Lyckås (obsplatsen), Fyledalen, Sk</t>
  </si>
  <si>
    <t>Uno Unger, Nils Abrahamsson, Berndt Lindberg</t>
  </si>
  <si>
    <t>urn:lsid:artportalen.se:sighting:39283744</t>
  </si>
  <si>
    <t>Nedraby ris, Sk</t>
  </si>
  <si>
    <t>Övraby</t>
  </si>
  <si>
    <t>Tomelilla</t>
  </si>
  <si>
    <t>Sven Persson</t>
  </si>
  <si>
    <t>urn:lsid:artportalen.se:sighting:36650676</t>
  </si>
  <si>
    <t>Tomelilla, Sk</t>
  </si>
  <si>
    <t>Tryde</t>
  </si>
  <si>
    <t>Magnus Hallgren</t>
  </si>
  <si>
    <t>hane</t>
  </si>
  <si>
    <t>urn:lsid:artportalen.se:sighting:36196356</t>
  </si>
  <si>
    <t>adult</t>
  </si>
  <si>
    <t>urn:lsid:artportalen.se:sighting:23339400</t>
  </si>
  <si>
    <t>urn:lsid:artportalen.se:sighting:26544259</t>
  </si>
  <si>
    <t>Lyckås, Fyledalen, Sk</t>
  </si>
  <si>
    <t>Högestad</t>
  </si>
  <si>
    <t>Stefan Cherrug</t>
  </si>
  <si>
    <t>urn:lsid:artportalen.se:sighting:26944827</t>
  </si>
  <si>
    <t>pulli</t>
  </si>
  <si>
    <t>urn:lsid:artportalen.se:sighting:32950189</t>
  </si>
  <si>
    <t>Sälshög, Tomelilla, Sk</t>
  </si>
  <si>
    <t>Kenneth Bengtsson</t>
  </si>
  <si>
    <t>urn:lsid:artportalen.se:sighting:26347066</t>
  </si>
  <si>
    <t>Örups almskog, Tomelilla, Sk</t>
  </si>
  <si>
    <t>Benestad</t>
  </si>
  <si>
    <t>Richard Bergendahl</t>
  </si>
  <si>
    <t>i par</t>
  </si>
  <si>
    <t>urn:lsid:artportalen.se:sighting:26801246</t>
  </si>
  <si>
    <t>Lars Teveborg, Marcus Teveborg</t>
  </si>
  <si>
    <t>urn:lsid:artportalen.se:sighting:59454198</t>
  </si>
  <si>
    <t>Fyledalen  Fylehuset, Sk</t>
  </si>
  <si>
    <t>Ramsåsa</t>
  </si>
  <si>
    <t>urn:lsid:artportalen.se:sighting:66925864</t>
  </si>
  <si>
    <t>Lars Erik Norbäck</t>
  </si>
  <si>
    <t>urn:lsid:artportalen.se:sighting:71688619</t>
  </si>
  <si>
    <t>Marie-Louise Bárány</t>
  </si>
  <si>
    <t>urn:lsid:artportalen.se:sighting:76421620</t>
  </si>
  <si>
    <t>obs i häcktid, lämplig biotop</t>
  </si>
  <si>
    <t>urn:lsid:artportalen.se:sighting:52603746</t>
  </si>
  <si>
    <t>urn:lsid:artportalen.se:sighting:54993420</t>
  </si>
  <si>
    <t>Betongplattan, Fyledalen, Sk</t>
  </si>
  <si>
    <t>upprörd, varnande</t>
  </si>
  <si>
    <t>urn:lsid:artportalen.se:sighting:49290789</t>
  </si>
  <si>
    <t>urn:lsid:artportalen.se:sighting:116643377</t>
  </si>
  <si>
    <t>Benestad, Sk</t>
  </si>
  <si>
    <t>urn:lsid:artportalen.se:sighting:109854266</t>
  </si>
  <si>
    <t>Mikael Grantén, Eva-Lotta Grantén</t>
  </si>
  <si>
    <t>urn:lsid:artportalen.se:sighting:115237202</t>
  </si>
  <si>
    <t>Tryde, Tomelilla, Sk</t>
  </si>
  <si>
    <t>Max Karlsson</t>
  </si>
  <si>
    <t>urn:lsid:artportalen.se:sighting:100143110</t>
  </si>
  <si>
    <t>Brevägs ände, Benestad, Sk</t>
  </si>
  <si>
    <t>urn:lsid:artportalen.se:sighting:107624492</t>
  </si>
  <si>
    <t>Äppelodlingen, Tomelilla, Sk</t>
  </si>
  <si>
    <t>Tord Andersson</t>
  </si>
  <si>
    <t>urn:lsid:artportalen.se:sighting:106009306</t>
  </si>
  <si>
    <t>Mona Hansson</t>
  </si>
  <si>
    <t>urn:lsid:artportalen.se:sighting:84150929</t>
  </si>
  <si>
    <t>urn:lsid:artportalen.se:sighting:84364662</t>
  </si>
  <si>
    <t>Monica Pedersen, Marie-Louise Bárány</t>
  </si>
  <si>
    <t>urn:lsid:artportalen.se:sighting:85961170</t>
  </si>
  <si>
    <t>urn:lsid:artportalen.se:sighting:82871907</t>
  </si>
  <si>
    <t>Tomelilla reningsverk, Tomelilla, Sk</t>
  </si>
  <si>
    <t>urn:lsid:artportalen.se:sighting:85739433</t>
  </si>
  <si>
    <t>Andréas Hagström, Lars Melin</t>
  </si>
  <si>
    <t>urn:lsid:artportalen.se:sighting:93099816</t>
  </si>
  <si>
    <t>urn:lsid:artportalen.se:sighting:93895486</t>
  </si>
  <si>
    <t>Thomas Liebig</t>
  </si>
  <si>
    <t>urn:lsid:artportalen.se:sighting:125916838</t>
  </si>
  <si>
    <t>Tomelilla, branddammen på slakteriområdet, Sk</t>
  </si>
  <si>
    <t>urn:lsid:artportalen.se:sighting:126743192</t>
  </si>
  <si>
    <t>Leif Karlsson</t>
  </si>
  <si>
    <t>urn:lsid:artportalen.se:sighting:124840317</t>
  </si>
  <si>
    <t>urn:lsid:artportalen.se:sighting:127410189</t>
  </si>
  <si>
    <t>Kronoskogen, Tomelilla, Sk</t>
  </si>
  <si>
    <t>urn:lsid:artportalen.se:sighting:21319828</t>
  </si>
  <si>
    <t>urn:lsid:artportalen.se:sighting:66236103</t>
  </si>
  <si>
    <t>Benestads backar, Benestad, Sk</t>
  </si>
  <si>
    <t>Magnus Nilsson</t>
  </si>
  <si>
    <t>urn:lsid:artportalen.se:sighting:42373035</t>
  </si>
  <si>
    <t>Nils Nilsson</t>
  </si>
  <si>
    <t>urn:lsid:artportalen.se:sighting:26347014</t>
  </si>
  <si>
    <t>urn:lsid:artportalen.se:sighting:26895510</t>
  </si>
  <si>
    <t>Lars G R Nilsson</t>
  </si>
  <si>
    <t>urn:lsid:artportalen.se:sighting:29678861</t>
  </si>
  <si>
    <t>Olle Holst</t>
  </si>
  <si>
    <t>urn:lsid:artportalen.se:sighting:29479281</t>
  </si>
  <si>
    <t>Leon Axelsson Widén, Ingrid Widén</t>
  </si>
  <si>
    <t>urn:lsid:artportalen.se:sighting:54489251</t>
  </si>
  <si>
    <t>urn:lsid:artportalen.se:sighting:45400104</t>
  </si>
  <si>
    <t>Fyledalen Stenbysidan, Sk</t>
  </si>
  <si>
    <t>urn:lsid:artportalen.se:sighting:125089551</t>
  </si>
  <si>
    <t>Patric Österblad</t>
  </si>
  <si>
    <t>urn:lsid:artportalen.se:sighting:123312549</t>
  </si>
  <si>
    <t>Örups ängar, Nedraby, Sk</t>
  </si>
  <si>
    <t>Alex Regnér</t>
  </si>
  <si>
    <t>urn:lsid:artportalen.se:sighting:123218691</t>
  </si>
  <si>
    <t>Simon Fors, Fredrik Lindgren, Karl-Erik Splittorff, Peter Hjalmar</t>
  </si>
  <si>
    <t>urn:lsid:artportalen.se:sighting:72716390</t>
  </si>
  <si>
    <t>Henrik Skov</t>
  </si>
  <si>
    <t>Godkänd baserat på observatörens uppgifter</t>
  </si>
  <si>
    <t>urn:lsid:artportalen.se:sighting:76828711</t>
  </si>
  <si>
    <t>Niklas Westermark, Jacob Rudhe, Jon Jörpeland, Rasmus Elleby, Mikael Åsberg</t>
  </si>
  <si>
    <t>urn:lsid:artportalen.se:sighting:77481436</t>
  </si>
  <si>
    <t>urn:lsid:artportalen.se:sighting:76773397</t>
  </si>
  <si>
    <t>urn:lsid:artportalen.se:sighting:76773408</t>
  </si>
  <si>
    <t>urn:lsid:artportalen.se:sighting:84702442</t>
  </si>
  <si>
    <t>urn:lsid:artportalen.se:sighting:86692520</t>
  </si>
  <si>
    <t>urn:lsid:artportalen.se:sighting:85961078</t>
  </si>
  <si>
    <t>urn:lsid:artportalen.se:sighting:81711569</t>
  </si>
  <si>
    <t>urn:lsid:artportalen.se:sighting:94012997</t>
  </si>
  <si>
    <t>urn:lsid:artportalen.se:sighting:94118812</t>
  </si>
  <si>
    <t>Örups gamla grustag, Sk</t>
  </si>
  <si>
    <t>urn:lsid:artportalen.se:sighting:116386364</t>
  </si>
  <si>
    <t>Johan Frössling</t>
  </si>
  <si>
    <t>urn:lsid:artportalen.se:sighting:117162791</t>
  </si>
  <si>
    <t>Per Lundgren, Annika Wetterberg</t>
  </si>
  <si>
    <t>urn:lsid:artportalen.se:sighting:118065786</t>
  </si>
  <si>
    <t>Anders Carlberg, Claes Dyst</t>
  </si>
  <si>
    <t>urn:lsid:artportalen.se:sighting:110437502</t>
  </si>
  <si>
    <t>Björn Erixon, Lillian Silfverduk</t>
  </si>
  <si>
    <t>urn:lsid:artportalen.se:sighting:115201971</t>
  </si>
  <si>
    <t>S Lyckås, Fyledalen, Sk</t>
  </si>
  <si>
    <t>Thomas Liebig, Christer Lind, Torbjörn Arvidsson</t>
  </si>
  <si>
    <t>urn:lsid:artportalen.se:sighting:123821377</t>
  </si>
  <si>
    <t>urn:lsid:artportalen.se:sighting:19654486</t>
  </si>
  <si>
    <t>Jens Morin, Nils Wierup</t>
  </si>
  <si>
    <t>urn:lsid:artportalen.se:sighting:49743483</t>
  </si>
  <si>
    <t>urn:lsid:artportalen.se:sighting:29783259</t>
  </si>
  <si>
    <t>urn:lsid:artportalen.se:sighting:24238703</t>
  </si>
  <si>
    <t>Ragnar Hall, Ulf Gärdenfors</t>
  </si>
  <si>
    <t>urn:lsid:artportalen.se:sighting:27200859</t>
  </si>
  <si>
    <t>Gustav Asplund</t>
  </si>
  <si>
    <t>urn:lsid:artportalen.se:sighting:25961372</t>
  </si>
  <si>
    <t>urn:lsid:artportalen.se:sighting:42868209</t>
  </si>
  <si>
    <t>Ragnar Lagerkvist</t>
  </si>
  <si>
    <t>urn:lsid:artportalen.se:sighting:35000419</t>
  </si>
  <si>
    <t>urn:lsid:artportalen.se:sighting:35360096</t>
  </si>
  <si>
    <t>Fyleån vid Lyckås, Sk</t>
  </si>
  <si>
    <t>Cecilia Wide</t>
  </si>
  <si>
    <t>urn:lsid:artportalen.se:sighting:41922780</t>
  </si>
  <si>
    <t>urn:lsid:artportalen.se:sighting:77221632</t>
  </si>
  <si>
    <t>urn:lsid:artportalen.se:sighting:70281789</t>
  </si>
  <si>
    <t>urn:lsid:artportalen.se:sighting:81792004</t>
  </si>
  <si>
    <t>Inger-Marie Carlsen</t>
  </si>
  <si>
    <t>urn:lsid:artportalen.se:sighting:93463421</t>
  </si>
  <si>
    <t>Banvaktarstugan, Fylan, Fyledalen, Sk</t>
  </si>
  <si>
    <t>Ingrid Evaldsson, Krister Wadén</t>
  </si>
  <si>
    <t>urn:lsid:artportalen.se:sighting:64821437</t>
  </si>
  <si>
    <t>urn:lsid:artportalen.se:sighting:104461922</t>
  </si>
  <si>
    <t>urn:lsid:artportalen.se:sighting:109734597</t>
  </si>
  <si>
    <t>urn:lsid:artportalen.se:sighting:109264320</t>
  </si>
  <si>
    <t>Örnbacken, Fyledalen, Sk</t>
  </si>
  <si>
    <t>Victor Andréasson</t>
  </si>
  <si>
    <t>urn:lsid:artportalen.se:sighting:99992423</t>
  </si>
  <si>
    <t>urn:lsid:artportalen.se:sighting:117092967</t>
  </si>
  <si>
    <t>urn:lsid:artportalen.se:sighting:119482579</t>
  </si>
  <si>
    <t>Välabäcken nordöst Aktivs gård, Tomelilla, Sk</t>
  </si>
  <si>
    <t>urn:lsid:artportalen.se:sighting:119482570</t>
  </si>
  <si>
    <t>urn:lsid:artportalen.se:sighting:114894000</t>
  </si>
  <si>
    <t>Magnus Levin, Mikael Forsman, Tommy Järås</t>
  </si>
  <si>
    <t>urn:lsid:artportalen.se:sighting:116323298</t>
  </si>
  <si>
    <t>Elin Rostedt, Filip Beckman, Sonja Jederlund</t>
  </si>
  <si>
    <t>urn:lsid:artportalen.se:sighting:110031912</t>
  </si>
  <si>
    <t>Staffan Liljeqvist, Lennart Andersson</t>
  </si>
  <si>
    <t>urn:lsid:artportalen.se:sighting:108017568</t>
  </si>
  <si>
    <t>Fyledalen, Sk</t>
  </si>
  <si>
    <t>Klas Rådberg</t>
  </si>
  <si>
    <t>urn:lsid:artportalen.se:sighting:125680436</t>
  </si>
  <si>
    <t>Stenby, Fyledalen, Sk</t>
  </si>
  <si>
    <t>Viktor Björkert</t>
  </si>
  <si>
    <t>urn:lsid:artportalen.se:sighting:77759804</t>
  </si>
  <si>
    <t>Benestad backar, Sk</t>
  </si>
  <si>
    <t>urn:lsid:artportalen.se:sighting:88268789</t>
  </si>
  <si>
    <t>Tryde NR, Tomelilla, Sk</t>
  </si>
  <si>
    <t>Uno Pettersson, Patricia Medina</t>
  </si>
  <si>
    <t>urn:lsid:artportalen.se:sighting:26402725</t>
  </si>
  <si>
    <t>Kaj Svahn, Hans Larsson, David Erterius, Anders Wigren, Jesper Hansson, Janne Dahlén, Olof Strand</t>
  </si>
  <si>
    <t>urn:lsid:artportalen.se:sighting:26698827</t>
  </si>
  <si>
    <t>urn:lsid:artportalen.se:sighting:29542254</t>
  </si>
  <si>
    <t>urn:lsid:artportalen.se:sighting:25163637</t>
  </si>
  <si>
    <t>Ramsåsa kyrka, Fyledalen, Sk</t>
  </si>
  <si>
    <t>urn:lsid:artportalen.se:sighting:25163639</t>
  </si>
  <si>
    <t>urn:lsid:artportalen.se:sighting:42453839</t>
  </si>
  <si>
    <t>Johan Södercrantz, Anders Sennmalm</t>
  </si>
  <si>
    <t>urn:lsid:artportalen.se:sighting:35496392</t>
  </si>
  <si>
    <t>Marcus Teveborg, Jeanette Teveborg, Lars Teveborg</t>
  </si>
  <si>
    <t>urn:lsid:artportalen.se:sighting:36062375</t>
  </si>
  <si>
    <t>Elon Wismén, Ingvor Svensson, Lena Essedahl, Leif Andersson</t>
  </si>
  <si>
    <t>urn:lsid:artportalen.se:sighting:36184313</t>
  </si>
  <si>
    <t>Ruben Smith, Kristoffer Sandelin</t>
  </si>
  <si>
    <t>urn:lsid:artportalen.se:sighting:36788017</t>
  </si>
  <si>
    <t>Kaj Svahn, Hans Larsson, Sissel Sjöberg</t>
  </si>
  <si>
    <t>urn:lsid:artportalen.se:sighting:45463230</t>
  </si>
  <si>
    <t>urn:lsid:artportalen.se:sighting:49994678</t>
  </si>
  <si>
    <t>Kronoskogen, Fyledalen, Sk</t>
  </si>
  <si>
    <t>urn:lsid:artportalen.se:sighting:46599440</t>
  </si>
  <si>
    <t>Svampakorset, Tomelilla, Sk</t>
  </si>
  <si>
    <t>Ola Ejdrén</t>
  </si>
  <si>
    <t>urn:lsid:artportalen.se:sighting:52237643</t>
  </si>
  <si>
    <t>Berndt Lindberg</t>
  </si>
  <si>
    <t>urn:lsid:artportalen.se:sighting:48529135</t>
  </si>
  <si>
    <t>Stenby backe, Fyledalen, Sk</t>
  </si>
  <si>
    <t>Uno Unger, Berndt Lindberg, Nils Abrahamsson, Tommy Järås</t>
  </si>
  <si>
    <t>urn:lsid:artportalen.se:sighting:59077797</t>
  </si>
  <si>
    <t>urn:lsid:artportalen.se:sighting:57491957</t>
  </si>
  <si>
    <t>Per Karsten</t>
  </si>
  <si>
    <t>urn:lsid:artportalen.se:sighting:100118245</t>
  </si>
  <si>
    <t>Lars Leonardson, Evy Liljedahl, Gert Ljungqvist, Jan-Erik Nilsson, Krister Wadén, Tina Nilsson</t>
  </si>
  <si>
    <t>urn:lsid:artportalen.se:sighting:94309541</t>
  </si>
  <si>
    <t>urn:lsid:artportalen.se:sighting:98913779</t>
  </si>
  <si>
    <t>Uno Unger, Tommy Järås, Nils Abrahamsson, Magnus Levin</t>
  </si>
  <si>
    <t>urn:lsid:artportalen.se:sighting:93099887</t>
  </si>
  <si>
    <t>urn:lsid:artportalen.se:sighting:110281846</t>
  </si>
  <si>
    <t>Brovägens start, Sk</t>
  </si>
  <si>
    <t>urn:lsid:artportalen.se:sighting:109309703</t>
  </si>
  <si>
    <t>Elon Wismén, Ola Bäckman</t>
  </si>
  <si>
    <t>urn:lsid:artportalen.se:sighting:108962893</t>
  </si>
  <si>
    <t>urn:lsid:artportalen.se:sighting:109978331</t>
  </si>
  <si>
    <t>Magnus Dahl</t>
  </si>
  <si>
    <t>urn:lsid:artportalen.se:sighting:101403995</t>
  </si>
  <si>
    <t>urn:lsid:artportalen.se:sighting:102080845</t>
  </si>
  <si>
    <t>urn:lsid:artportalen.se:sighting:108599058</t>
  </si>
  <si>
    <t>Davide Sanguineti</t>
  </si>
  <si>
    <t>hona</t>
  </si>
  <si>
    <t>urn:lsid:artportalen.se:sighting:117379530</t>
  </si>
  <si>
    <t>urn:lsid:artportalen.se:sighting:116643375</t>
  </si>
  <si>
    <t>urn:lsid:artportalen.se:sighting:131485265</t>
  </si>
  <si>
    <t>Simon Fors, Anders Fransson, Fredrik Lindgren, Karl-Erik Splittorff, Peter Hjalmar</t>
  </si>
  <si>
    <t>urn:lsid:artportalen.se:sighting:125916826</t>
  </si>
  <si>
    <t>urn:lsid:artportalen.se:sighting:127086842</t>
  </si>
  <si>
    <t>Benestad backar, Benestad, Sk</t>
  </si>
  <si>
    <t>Erik Widuss</t>
  </si>
  <si>
    <t>urn:lsid:artportalen.se:sighting:123314548</t>
  </si>
  <si>
    <t>urn:lsid:artportalen.se:sighting:124204263</t>
  </si>
  <si>
    <t>urn:lsid:artportalen.se:sighting:125122676</t>
  </si>
  <si>
    <t>Tomelilla avfallsanläggning, Sk</t>
  </si>
  <si>
    <t>Bengt Legnell</t>
  </si>
  <si>
    <t>urn:lsid:artportalen.se:sighting:123030752</t>
  </si>
  <si>
    <t>urn:lsid:artportalen.se:sighting:23700053</t>
  </si>
  <si>
    <t>Martin Gierow</t>
  </si>
  <si>
    <t>urn:lsid:artportalen.se:sighting:36146018</t>
  </si>
  <si>
    <t>Hasse Berglund</t>
  </si>
  <si>
    <t>urn:lsid:artportalen.se:sighting:43153884</t>
  </si>
  <si>
    <t>Peter Strandvik, Peter Keil</t>
  </si>
  <si>
    <t>urn:lsid:artportalen.se:sighting:45014025</t>
  </si>
  <si>
    <t>urn:lsid:artportalen.se:sighting:45151902</t>
  </si>
  <si>
    <t>urn:lsid:artportalen.se:sighting:45964582</t>
  </si>
  <si>
    <t>Sigvard Svensson, Monica Hallberg</t>
  </si>
  <si>
    <t>urn:lsid:artportalen.se:sighting:46694332</t>
  </si>
  <si>
    <t>1K</t>
  </si>
  <si>
    <t>urn:lsid:artportalen.se:sighting:32497828</t>
  </si>
  <si>
    <t>urn:lsid:artportalen.se:sighting:17394239</t>
  </si>
  <si>
    <t>urn:lsid:artportalen.se:sighting:82433592</t>
  </si>
  <si>
    <t>urn:lsid:artportalen.se:sighting:76773315</t>
  </si>
  <si>
    <t>urn:lsid:artportalen.se:sighting:76060278</t>
  </si>
  <si>
    <t>Jonas Nilsson</t>
  </si>
  <si>
    <t>urn:lsid:artportalen.se:sighting:82510242</t>
  </si>
  <si>
    <t>urn:lsid:artportalen.se:sighting:118213667</t>
  </si>
  <si>
    <t>Tomas Cahier</t>
  </si>
  <si>
    <t>urn:lsid:artportalen.se:sighting:115311951</t>
  </si>
  <si>
    <t>Tryde Naturreservat, Sk</t>
  </si>
  <si>
    <t>urn:lsid:artportalen.se:sighting:124840302</t>
  </si>
  <si>
    <t>urn:lsid:artportalen.se:sighting:85152654</t>
  </si>
  <si>
    <t>Tomelilla norra industriområde, Tomelilla, Sk</t>
  </si>
  <si>
    <t>urn:lsid:artportalen.se:sighting:85370457</t>
  </si>
  <si>
    <t>urn:lsid:artportalen.se:sighting:94203327</t>
  </si>
  <si>
    <t>urn:lsid:artportalen.se:sighting:94110551</t>
  </si>
  <si>
    <t>urn:lsid:artportalen.se:sighting:86636979</t>
  </si>
  <si>
    <t>Musse Björklund</t>
  </si>
  <si>
    <t>urn:lsid:artportalen.se:sighting:86575864</t>
  </si>
  <si>
    <t>Jan Tallnäs, Maria Tallnäs, Johan Tallnäs</t>
  </si>
  <si>
    <t>urn:lsid:artportalen.se:sighting:100763479</t>
  </si>
  <si>
    <t>urn:lsid:artportalen.se:sighting:101936315</t>
  </si>
  <si>
    <t>Johan Durk</t>
  </si>
  <si>
    <t>urn:lsid:artportalen.se:sighting:94567441</t>
  </si>
  <si>
    <t>urn:lsid:artportalen.se:sighting:99992470</t>
  </si>
  <si>
    <t>urn:lsid:artportalen.se:sighting:98913803</t>
  </si>
  <si>
    <t>urn:lsid:artportalen.se:sighting:26347067</t>
  </si>
  <si>
    <t>urn:lsid:artportalen.se:sighting:27118539</t>
  </si>
  <si>
    <t>Lars Teveborg, Jeanette Teveborg, Niclas Teveborg, Marcus Teveborg</t>
  </si>
  <si>
    <t>urn:lsid:artportalen.se:sighting:52035167</t>
  </si>
  <si>
    <t>urn:lsid:artportalen.se:sighting:54430750</t>
  </si>
  <si>
    <t>Bengt Ottosson</t>
  </si>
  <si>
    <t>urn:lsid:artportalen.se:sighting:50044829</t>
  </si>
  <si>
    <t>Göran Andersson, Eva Fredriksson</t>
  </si>
  <si>
    <t>urn:lsid:artportalen.se:sighting:48552705</t>
  </si>
  <si>
    <t>urn:lsid:artportalen.se:sighting:17949351</t>
  </si>
  <si>
    <t>Dan Hammarlund</t>
  </si>
  <si>
    <t>urn:lsid:artportalen.se:sighting:25784469</t>
  </si>
  <si>
    <t>urn:lsid:artportalen.se:sighting:41368912</t>
  </si>
  <si>
    <t>urn:lsid:artportalen.se:sighting:43025407</t>
  </si>
  <si>
    <t>Staffan Nilsson</t>
  </si>
  <si>
    <t>urn:lsid:artportalen.se:sighting:86636973</t>
  </si>
  <si>
    <t>urn:lsid:artportalen.se:sighting:86326081</t>
  </si>
  <si>
    <t>Örups gamla grustag, Nedraby, Sk</t>
  </si>
  <si>
    <t>urn:lsid:artportalen.se:sighting:82509864</t>
  </si>
  <si>
    <t>urn:lsid:artportalen.se:sighting:84702438</t>
  </si>
  <si>
    <t>urn:lsid:artportalen.se:sighting:78040365</t>
  </si>
  <si>
    <t>urn:lsid:artportalen.se:sighting:58723428</t>
  </si>
  <si>
    <t>Gunnar Siljestrand, Birgitta Davidsson</t>
  </si>
  <si>
    <t>urn:lsid:artportalen.se:sighting:46690928</t>
  </si>
  <si>
    <t>Peter Keil, Peter Strandvik</t>
  </si>
  <si>
    <t>urn:lsid:artportalen.se:sighting:35435610</t>
  </si>
  <si>
    <t>Jan-Olov Johansson, Rolf G Gustafsson</t>
  </si>
  <si>
    <t>urn:lsid:artportalen.se:sighting:92786132</t>
  </si>
  <si>
    <t>Tryde naturreservat, Tomelilla, Sk</t>
  </si>
  <si>
    <t>urn:lsid:artportalen.se:sighting:77481478</t>
  </si>
  <si>
    <t>urn:lsid:artportalen.se:sighting:100629047</t>
  </si>
  <si>
    <t>urn:lsid:artportalen.se:sighting:99055651</t>
  </si>
  <si>
    <t>urn:lsid:artportalen.se:sighting:109985922</t>
  </si>
  <si>
    <t>Julius Wengelin Grantén, Frida Nettelbladt, Christopher Gullander, Niklas Torstensson</t>
  </si>
  <si>
    <t>urn:lsid:artportalen.se:sighting:110031789</t>
  </si>
  <si>
    <t>urn:lsid:artportalen.se:sighting:107903980</t>
  </si>
  <si>
    <t>urn:lsid:artportalen.se:sighting:102640708</t>
  </si>
  <si>
    <t>urn:lsid:artportalen.se:sighting:115868395</t>
  </si>
  <si>
    <t>Magnus Larsson, Kerstin Larsson</t>
  </si>
  <si>
    <t>urn:lsid:artportalen.se:sighting:116453412</t>
  </si>
  <si>
    <t>urn:lsid:artportalen.se:sighting:119725989</t>
  </si>
  <si>
    <t>urn:lsid:artportalen.se:sighting:124204229</t>
  </si>
  <si>
    <t>urn:lsid:artportalen.se:sighting:102188399</t>
  </si>
  <si>
    <t>Fredrik Andersson</t>
  </si>
  <si>
    <t>urn:lsid:artportalen.se:sighting:53467778</t>
  </si>
  <si>
    <t>urn:lsid:artportalen.se:sighting:107868815</t>
  </si>
  <si>
    <t>urn:lsid:artportalen.se:sighting:27005804</t>
  </si>
  <si>
    <t>Peter Schmidt</t>
  </si>
  <si>
    <t>urn:lsid:artportalen.se:sighting:29540750</t>
  </si>
  <si>
    <t>Uno Unger, Magnus Unger</t>
  </si>
  <si>
    <t>urn:lsid:artportalen.se:sighting:28177536</t>
  </si>
  <si>
    <t>Peter Skoog, Nils-Arne Thunell</t>
  </si>
  <si>
    <t>urn:lsid:artportalen.se:sighting:27199655</t>
  </si>
  <si>
    <t>urn:lsid:artportalen.se:sighting:42546472</t>
  </si>
  <si>
    <t>urn:lsid:artportalen.se:sighting:35937467</t>
  </si>
  <si>
    <t>urn:lsid:artportalen.se:sighting:38629161</t>
  </si>
  <si>
    <t>Anders Sennmalm</t>
  </si>
  <si>
    <t>urn:lsid:artportalen.se:sighting:39351122</t>
  </si>
  <si>
    <t>Emma Berg, Kent-Ove Hvass, Annelie Andersson, Hanna Berg, Lotta Berg</t>
  </si>
  <si>
    <t>urn:lsid:artportalen.se:sighting:48975761</t>
  </si>
  <si>
    <t>Lars Erik Norbäck, Göran Gustavsson, Carl Jyker</t>
  </si>
  <si>
    <t>urn:lsid:artportalen.se:sighting:48364957</t>
  </si>
  <si>
    <t>Benga Ragnewall</t>
  </si>
  <si>
    <t>urn:lsid:artportalen.se:sighting:52225080</t>
  </si>
  <si>
    <t>urn:lsid:artportalen.se:sighting:53889642</t>
  </si>
  <si>
    <t>Stefan Wastegård</t>
  </si>
  <si>
    <t>urn:lsid:artportalen.se:sighting:77627778</t>
  </si>
  <si>
    <t>Ulf Gärdenfors</t>
  </si>
  <si>
    <t>urn:lsid:artportalen.se:sighting:71273087</t>
  </si>
  <si>
    <t>Sven Bågesund, Violis Bågesund</t>
  </si>
  <si>
    <t>urn:lsid:artportalen.se:sighting:92098478</t>
  </si>
  <si>
    <t>urn:lsid:artportalen.se:sighting:109986895</t>
  </si>
  <si>
    <t>urn:lsid:artportalen.se:sighting:116645374</t>
  </si>
  <si>
    <t>urn:lsid:artportalen.se:sighting:115303860</t>
  </si>
  <si>
    <t>urn:lsid:artportalen.se:sighting:84364644</t>
  </si>
  <si>
    <t>urn:lsid:artportalen.se:sighting:88268788</t>
  </si>
  <si>
    <t>urn:lsid:artportalen.se:sighting:125809392</t>
  </si>
  <si>
    <t>Jan Håkansson, Jan Hedin, Patric Gullström</t>
  </si>
  <si>
    <t>urn:lsid:artportalen.se:sighting:125956243</t>
  </si>
  <si>
    <t>Tomelilla Industriområde, Sk</t>
  </si>
  <si>
    <t>urn:lsid:artportalen.se:sighting:132115867</t>
  </si>
  <si>
    <t>Urban Lennartsson</t>
  </si>
  <si>
    <t>urn:lsid:artportalen.se:sighting:27199656</t>
  </si>
  <si>
    <t>urn:lsid:artportalen.se:sighting:26331922</t>
  </si>
  <si>
    <t>urn:lsid:artportalen.se:sighting:23305458</t>
  </si>
  <si>
    <t>urn:lsid:artportalen.se:sighting:49207878</t>
  </si>
  <si>
    <t>urn:lsid:artportalen.se:sighting:43330869</t>
  </si>
  <si>
    <t>Hans Waern</t>
  </si>
  <si>
    <t>urn:lsid:artportalen.se:sighting:41974805</t>
  </si>
  <si>
    <t>urn:lsid:artportalen.se:sighting:42444788</t>
  </si>
  <si>
    <t>urn:lsid:artportalen.se:sighting:54434789</t>
  </si>
  <si>
    <t>urn:lsid:artportalen.se:sighting:54088545</t>
  </si>
  <si>
    <t>urn:lsid:artportalen.se:sighting:66145017</t>
  </si>
  <si>
    <t>Roger Staszewski Malm, Filip Robertsson</t>
  </si>
  <si>
    <t>urn:lsid:artportalen.se:sighting:57711862</t>
  </si>
  <si>
    <t>Göran Cederholm, Ing-marie Enelund, Carl-Ivar Hagman</t>
  </si>
  <si>
    <t>urn:lsid:artportalen.se:sighting:28787556</t>
  </si>
  <si>
    <t>Uno Pettersson, Anders Lindgren</t>
  </si>
  <si>
    <t>urn:lsid:artportalen.se:sighting:60223855</t>
  </si>
  <si>
    <t>Stefan Björn, Per Ahlgren</t>
  </si>
  <si>
    <t>urn:lsid:artportalen.se:sighting:61285160</t>
  </si>
  <si>
    <t>Jonas Persson</t>
  </si>
  <si>
    <t>urn:lsid:artportalen.se:sighting:31706929</t>
  </si>
  <si>
    <t>urn:lsid:artportalen.se:sighting:36105540</t>
  </si>
  <si>
    <t>Per Björkman, Barbro Björkman</t>
  </si>
  <si>
    <t>bo, hörda ungar</t>
  </si>
  <si>
    <t>urn:lsid:artportalen.se:sighting:26729951</t>
  </si>
  <si>
    <t>urn:lsid:artportalen.se:sighting:76350475</t>
  </si>
  <si>
    <t>urn:lsid:artportalen.se:sighting:76342895</t>
  </si>
  <si>
    <t>Frank Desting</t>
  </si>
  <si>
    <t>urn:lsid:artportalen.se:sighting:78977817</t>
  </si>
  <si>
    <t>urn:lsid:artportalen.se:sighting:102138264</t>
  </si>
  <si>
    <t>urn:lsid:artportalen.se:sighting:100465665</t>
  </si>
  <si>
    <t>Gamla vattenverket, Sk</t>
  </si>
  <si>
    <t>urn:lsid:artportalen.se:sighting:99427197</t>
  </si>
  <si>
    <t>Benestad backar naturreservat, Sk</t>
  </si>
  <si>
    <t>urn:lsid:artportalen.se:sighting:99693797</t>
  </si>
  <si>
    <t>urn:lsid:artportalen.se:sighting:84151013</t>
  </si>
  <si>
    <t>urn:lsid:artportalen.se:sighting:84364678</t>
  </si>
  <si>
    <t>urn:lsid:artportalen.se:sighting:86692441</t>
  </si>
  <si>
    <t>urn:lsid:artportalen.se:sighting:94012992</t>
  </si>
  <si>
    <t>urn:lsid:artportalen.se:sighting:110082030</t>
  </si>
  <si>
    <t>Grillplatsen f.d. sågverket, Fyledalen, Sk</t>
  </si>
  <si>
    <t>urn:lsid:artportalen.se:sighting:117092955</t>
  </si>
  <si>
    <t>urn:lsid:artportalen.se:sighting:117479906</t>
  </si>
  <si>
    <t>Carina Henriksson</t>
  </si>
  <si>
    <t>urn:lsid:artportalen.se:sighting:124541345</t>
  </si>
  <si>
    <t>urn:lsid:artportalen.se:sighting:125895309</t>
  </si>
  <si>
    <t>urn:lsid:artportalen.se:sighting:132165600</t>
  </si>
  <si>
    <t>urn:lsid:artportalen.se:sighting:36193232</t>
  </si>
  <si>
    <t>urn:lsid:artportalen.se:sighting:39519404</t>
  </si>
  <si>
    <t>Ola Ejdrén, Gert Ljungqvist</t>
  </si>
  <si>
    <t>urn:lsid:artportalen.se:sighting:29537363</t>
  </si>
  <si>
    <t>urn:lsid:artportalen.se:sighting:23700248</t>
  </si>
  <si>
    <t>urn:lsid:artportalen.se:sighting:25814483</t>
  </si>
  <si>
    <t>Sandra Lindström</t>
  </si>
  <si>
    <t>urn:lsid:artportalen.se:sighting:27263500</t>
  </si>
  <si>
    <t>Bo Lassen</t>
  </si>
  <si>
    <t>urn:lsid:artportalen.se:sighting:41728006</t>
  </si>
  <si>
    <t>urn:lsid:artportalen.se:sighting:53673809</t>
  </si>
  <si>
    <t>Benny Hansson</t>
  </si>
  <si>
    <t>urn:lsid:artportalen.se:sighting:51985794</t>
  </si>
  <si>
    <t>Lars Sundberg</t>
  </si>
  <si>
    <t>urn:lsid:artportalen.se:sighting:52234169</t>
  </si>
  <si>
    <t>urn:lsid:artportalen.se:sighting:77627780</t>
  </si>
  <si>
    <t>urn:lsid:artportalen.se:sighting:85044649</t>
  </si>
  <si>
    <t>urn:lsid:artportalen.se:sighting:110012619</t>
  </si>
  <si>
    <t>Mikael Johansson</t>
  </si>
  <si>
    <t>urn:lsid:artportalen.se:sighting:107624445</t>
  </si>
  <si>
    <t>urn:lsid:artportalen.se:sighting:109549999</t>
  </si>
  <si>
    <t>urn:lsid:artportalen.se:sighting:59705980</t>
  </si>
  <si>
    <t>Tomelilla Kronoskogen, Sk</t>
  </si>
  <si>
    <t>urn:lsid:artportalen.se:sighting:69461824</t>
  </si>
  <si>
    <t>Uno Unger</t>
  </si>
  <si>
    <t>urn:lsid:artportalen.se:sighting:84702475</t>
  </si>
  <si>
    <t>urn:lsid:artportalen.se:sighting:84364727</t>
  </si>
  <si>
    <t>pumpstation, Fyledalen, Sk</t>
  </si>
  <si>
    <t>urn:lsid:artportalen.se:sighting:86692302</t>
  </si>
  <si>
    <t>Tomelilla Kronoskog, Sk</t>
  </si>
  <si>
    <t>urn:lsid:artportalen.se:sighting:90912262</t>
  </si>
  <si>
    <t>Thomas Lindblad, Ulf Gärdenfors</t>
  </si>
  <si>
    <t>urn:lsid:artportalen.se:sighting:93463330</t>
  </si>
  <si>
    <t>Trydeåns dalgång, Fyledalen, Sk</t>
  </si>
  <si>
    <t>urn:lsid:artportalen.se:sighting:86175274</t>
  </si>
  <si>
    <t>Fylehuset, Sk</t>
  </si>
  <si>
    <t>Thomas Strid</t>
  </si>
  <si>
    <t>urn:lsid:artportalen.se:sighting:93425294</t>
  </si>
  <si>
    <t>Ullstorp,Tomelilla, Sk</t>
  </si>
  <si>
    <t>Ullstorp</t>
  </si>
  <si>
    <t>John Rolander Borlid</t>
  </si>
  <si>
    <t>urn:lsid:artportalen.se:sighting:101441315</t>
  </si>
  <si>
    <t>Martina Strömbom, Jarl Strömbom</t>
  </si>
  <si>
    <t>urn:lsid:artportalen.se:sighting:101244474</t>
  </si>
  <si>
    <t>Niklas Sterner</t>
  </si>
  <si>
    <t>urn:lsid:artportalen.se:sighting:102080851</t>
  </si>
  <si>
    <t>urn:lsid:artportalen.se:sighting:98913780</t>
  </si>
  <si>
    <t>Tommy Järås, Magnus Levin</t>
  </si>
  <si>
    <t>urn:lsid:artportalen.se:sighting:118411091</t>
  </si>
  <si>
    <t>Tomelilla centrum, Sk</t>
  </si>
  <si>
    <t>urn:lsid:artportalen.se:sighting:123440740</t>
  </si>
  <si>
    <t>urn:lsid:artportalen.se:sighting:132262807</t>
  </si>
  <si>
    <t>urn:lsid:artportalen.se:sighting:42453840</t>
  </si>
  <si>
    <t>urn:lsid:artportalen.se:sighting:61317787</t>
  </si>
  <si>
    <t>urn:lsid:artportalen.se:sighting:25961373</t>
  </si>
  <si>
    <t>urn:lsid:artportalen.se:sighting:29850897</t>
  </si>
  <si>
    <t>urn:lsid:artportalen.se:sighting:33012946</t>
  </si>
  <si>
    <t>Lasse Sunnerstig</t>
  </si>
  <si>
    <t>urn:lsid:artportalen.se:sighting:38013982</t>
  </si>
  <si>
    <t>Ulf Mörte</t>
  </si>
  <si>
    <t>urn:lsid:artportalen.se:sighting:71652147</t>
  </si>
  <si>
    <t>Robert Rydbeck</t>
  </si>
  <si>
    <t>urn:lsid:artportalen.se:sighting:67121510</t>
  </si>
  <si>
    <t>Per Olof Lippe</t>
  </si>
  <si>
    <t>urn:lsid:artportalen.se:sighting:77559142</t>
  </si>
  <si>
    <t>urn:lsid:artportalen.se:sighting:77481509</t>
  </si>
  <si>
    <t>urn:lsid:artportalen.se:sighting:46669882</t>
  </si>
  <si>
    <t>Tina Widén</t>
  </si>
  <si>
    <t>urn:lsid:artportalen.se:sighting:49558040</t>
  </si>
  <si>
    <t>urn:lsid:artportalen.se:sighting:50632601</t>
  </si>
  <si>
    <t>Henrik Nordholm</t>
  </si>
  <si>
    <t>urn:lsid:artportalen.se:sighting:52236678</t>
  </si>
  <si>
    <t>urn:lsid:artportalen.se:sighting:48965427</t>
  </si>
  <si>
    <t>urn:lsid:artportalen.se:sighting:45984123</t>
  </si>
  <si>
    <t>Tomelilla golfklubb, Tomelilla, Sk</t>
  </si>
  <si>
    <t>urn:lsid:artportalen.se:sighting:49468808</t>
  </si>
  <si>
    <t>urn:lsid:artportalen.se:sighting:100401759</t>
  </si>
  <si>
    <t>Johan Lorentzon</t>
  </si>
  <si>
    <t>urn:lsid:artportalen.se:sighting:99192078</t>
  </si>
  <si>
    <t>urn:lsid:artportalen.se:sighting:116643793</t>
  </si>
  <si>
    <t>urn:lsid:artportalen.se:sighting:115935328</t>
  </si>
  <si>
    <t>Jan Lindgaard Rasmussen</t>
  </si>
  <si>
    <t>urn:lsid:artportalen.se:sighting:108899928</t>
  </si>
  <si>
    <t>urn:lsid:artportalen.se:sighting:109737096</t>
  </si>
  <si>
    <t>urn:lsid:artportalen.se:sighting:110347896</t>
  </si>
  <si>
    <t>Stefan Andersson</t>
  </si>
  <si>
    <t>urn:lsid:artportalen.se:sighting:84112402</t>
  </si>
  <si>
    <t>Väladalen, Sk</t>
  </si>
  <si>
    <t>urn:lsid:artportalen.se:sighting:85044494</t>
  </si>
  <si>
    <t>urn:lsid:artportalen.se:sighting:85146911</t>
  </si>
  <si>
    <t>Sophie Ehnbom</t>
  </si>
  <si>
    <t>urn:lsid:artportalen.se:sighting:79159137</t>
  </si>
  <si>
    <t>urn:lsid:artportalen.se:sighting:117379534</t>
  </si>
  <si>
    <t>urn:lsid:artportalen.se:sighting:123235965</t>
  </si>
  <si>
    <t>Anders Fransson</t>
  </si>
  <si>
    <t>urn:lsid:artportalen.se:sighting:117093039</t>
  </si>
  <si>
    <t>urn:lsid:artportalen.se:sighting:118065785</t>
  </si>
  <si>
    <t>urn:lsid:artportalen.se:sighting:117238250</t>
  </si>
  <si>
    <t>Örups almskog, kärr och ängar, Nedraby, Sk</t>
  </si>
  <si>
    <t>urn:lsid:artportalen.se:sighting:126375860</t>
  </si>
  <si>
    <t>bo, ägg/ungar</t>
  </si>
  <si>
    <t>urn:lsid:artportalen.se:sighting:125770401</t>
  </si>
  <si>
    <t>urn:lsid:artportalen.se:sighting:125086799</t>
  </si>
  <si>
    <t>Paul Eric Jönsson</t>
  </si>
  <si>
    <t>urn:lsid:artportalen.se:sighting:125770017</t>
  </si>
  <si>
    <t>urn:lsid:artportalen.se:sighting:115196676</t>
  </si>
  <si>
    <t>urn:lsid:artportalen.se:sighting:124734706</t>
  </si>
  <si>
    <t>Anna Åkesson, Markus Qvarfordh, Mikael Qvarfordh, Sofia Broström</t>
  </si>
  <si>
    <t>urn:lsid:artportalen.se:sighting:43047754</t>
  </si>
  <si>
    <t>urn:lsid:artportalen.se:sighting:44779365</t>
  </si>
  <si>
    <t>Magnus Larsson, Thomas Liebig</t>
  </si>
  <si>
    <t>urn:lsid:artportalen.se:sighting:42304164</t>
  </si>
  <si>
    <t>Roger Staszewski Malm</t>
  </si>
  <si>
    <t>urn:lsid:artportalen.se:sighting:21585259</t>
  </si>
  <si>
    <t>urn:lsid:artportalen.se:sighting:32868445</t>
  </si>
  <si>
    <t>urn:lsid:artportalen.se:sighting:34232298</t>
  </si>
  <si>
    <t>Christer Carlson</t>
  </si>
  <si>
    <t>urn:lsid:artportalen.se:sighting:122074630</t>
  </si>
  <si>
    <t>Tobias Larsson</t>
  </si>
  <si>
    <t>urn:lsid:artportalen.se:sighting:124840334</t>
  </si>
  <si>
    <t>urn:lsid:artportalen.se:sighting:124840277</t>
  </si>
  <si>
    <t>urn:lsid:artportalen.se:sighting:123935492</t>
  </si>
  <si>
    <t>urn:lsid:artportalen.se:sighting:102244284</t>
  </si>
  <si>
    <t>urn:lsid:artportalen.se:sighting:100763453</t>
  </si>
  <si>
    <t>urn:lsid:artportalen.se:sighting:53963986</t>
  </si>
  <si>
    <t>Jonas Emmertz</t>
  </si>
  <si>
    <t>urn:lsid:artportalen.se:sighting:48402501</t>
  </si>
  <si>
    <t>Conny Palm, Olof HagDala-Persson</t>
  </si>
  <si>
    <t>urn:lsid:artportalen.se:sighting:69644213</t>
  </si>
  <si>
    <t>Tomelilla Stadsparken, Tomelilla, Sk</t>
  </si>
  <si>
    <t>urn:lsid:artportalen.se:sighting:85739521</t>
  </si>
  <si>
    <t>urn:lsid:artportalen.se:sighting:86636237</t>
  </si>
  <si>
    <t>urn:lsid:artportalen.se:sighting:86433641</t>
  </si>
  <si>
    <t>Ola Ejdrén, Minja Ejdrén, Reia Ejdrén</t>
  </si>
  <si>
    <t>urn:lsid:artportalen.se:sighting:86636978</t>
  </si>
  <si>
    <t>urn:lsid:artportalen.se:sighting:84112503</t>
  </si>
  <si>
    <t>urn:lsid:artportalen.se:sighting:94439313</t>
  </si>
  <si>
    <t>urn:lsid:artportalen.se:sighting:94013103</t>
  </si>
  <si>
    <t>urn:lsid:artportalen.se:sighting:109703084</t>
  </si>
  <si>
    <t>urn:lsid:artportalen.se:sighting:109937164</t>
  </si>
  <si>
    <t>600 m N om Lyckås, Fyledalen, Sk</t>
  </si>
  <si>
    <t>urn:lsid:artportalen.se:sighting:109985919</t>
  </si>
  <si>
    <t>urn:lsid:artportalen.se:sighting:107746611</t>
  </si>
  <si>
    <t>urn:lsid:artportalen.se:sighting:109223047</t>
  </si>
  <si>
    <t>Ullstorp, Tomelilla, Sk</t>
  </si>
  <si>
    <t>urn:lsid:artportalen.se:sighting:115327911</t>
  </si>
  <si>
    <t>urn:lsid:artportalen.se:sighting:108963037</t>
  </si>
  <si>
    <t>urn:lsid:artportalen.se:sighting:110103666</t>
  </si>
  <si>
    <t>urn:lsid:artportalen.se:sighting:19155837</t>
  </si>
  <si>
    <t>urn:lsid:artportalen.se:sighting:23697490</t>
  </si>
  <si>
    <t>urn:lsid:artportalen.se:sighting:23312799</t>
  </si>
  <si>
    <t>urn:lsid:artportalen.se:sighting:23340612</t>
  </si>
  <si>
    <t>urn:lsid:artportalen.se:sighting:26199762</t>
  </si>
  <si>
    <t>urn:lsid:artportalen.se:sighting:31499687</t>
  </si>
  <si>
    <t>Göran Andersson</t>
  </si>
  <si>
    <t>urn:lsid:artportalen.se:sighting:28186163</t>
  </si>
  <si>
    <t>Klubb Tomt 100</t>
  </si>
  <si>
    <t>urn:lsid:artportalen.se:sighting:29441824</t>
  </si>
  <si>
    <t>urn:lsid:artportalen.se:sighting:31706928</t>
  </si>
  <si>
    <t>urn:lsid:artportalen.se:sighting:32599380</t>
  </si>
  <si>
    <t>Phil Benstead</t>
  </si>
  <si>
    <t>urn:lsid:artportalen.se:sighting:26961503</t>
  </si>
  <si>
    <t>urn:lsid:artportalen.se:sighting:35150425</t>
  </si>
  <si>
    <t>urn:lsid:artportalen.se:sighting:42686208</t>
  </si>
  <si>
    <t>urn:lsid:artportalen.se:sighting:35618421</t>
  </si>
  <si>
    <t>urn:lsid:artportalen.se:sighting:36593469</t>
  </si>
  <si>
    <t>Ruben Smith</t>
  </si>
  <si>
    <t>urn:lsid:artportalen.se:sighting:42445957</t>
  </si>
  <si>
    <t>urn:lsid:artportalen.se:sighting:49213483</t>
  </si>
  <si>
    <t>urn:lsid:artportalen.se:sighting:43251289</t>
  </si>
  <si>
    <t>urn:lsid:artportalen.se:sighting:49737863</t>
  </si>
  <si>
    <t>urn:lsid:artportalen.se:sighting:48162163</t>
  </si>
  <si>
    <t>Nils Nilsson, Peter Olsson, Lars-Göran Lillvik, Henrik Pihlemark</t>
  </si>
  <si>
    <t>urn:lsid:artportalen.se:sighting:42373036</t>
  </si>
  <si>
    <t>urn:lsid:artportalen.se:sighting:66662066</t>
  </si>
  <si>
    <t>urn:lsid:artportalen.se:sighting:71806448</t>
  </si>
  <si>
    <t>Benestads backar, Sk</t>
  </si>
  <si>
    <t>Richard Ek, Jesper Segergren</t>
  </si>
  <si>
    <t>urn:lsid:artportalen.se:sighting:60202643</t>
  </si>
  <si>
    <t>urn:lsid:artportalen.se:sighting:66051228</t>
  </si>
  <si>
    <t>urn:lsid:artportalen.se:sighting:85044800</t>
  </si>
  <si>
    <t>urn:lsid:artportalen.se:sighting:82397204</t>
  </si>
  <si>
    <t>Leif Frederiksen</t>
  </si>
  <si>
    <t>urn:lsid:artportalen.se:sighting:77481475</t>
  </si>
  <si>
    <t>urn:lsid:artportalen.se:sighting:110487547</t>
  </si>
  <si>
    <t>urn:lsid:artportalen.se:sighting:109953792</t>
  </si>
  <si>
    <t>Olle Thyrestam, Simon Stenberg Jönsson</t>
  </si>
  <si>
    <t>urn:lsid:artportalen.se:sighting:109953150</t>
  </si>
  <si>
    <t>Edvin Klein, Göran Engberg, Musse Björklund, Lars Thornberg</t>
  </si>
  <si>
    <t>urn:lsid:artportalen.se:sighting:116363099</t>
  </si>
  <si>
    <t>Krister Wadén</t>
  </si>
  <si>
    <t>urn:lsid:artportalen.se:sighting:115467638</t>
  </si>
  <si>
    <t>urn:lsid:artportalen.se:sighting:117194890</t>
  </si>
  <si>
    <t>urn:lsid:artportalen.se:sighting:117188619</t>
  </si>
  <si>
    <t>urn:lsid:artportalen.se:sighting:116699553</t>
  </si>
  <si>
    <t>urn:lsid:artportalen.se:sighting:108599528</t>
  </si>
  <si>
    <t>urn:lsid:artportalen.se:sighting:98869880</t>
  </si>
  <si>
    <t>Thomas Liebig, Christer Lind, Magnus Larsson</t>
  </si>
  <si>
    <t>urn:lsid:artportalen.se:sighting:98871779</t>
  </si>
  <si>
    <t>urn:lsid:artportalen.se:sighting:99427199</t>
  </si>
  <si>
    <t>urn:lsid:artportalen.se:sighting:102498565</t>
  </si>
  <si>
    <t>Max Karlsson, Elias Blad, Anton Kvarnbäck, Frank Pollari-Karlsson</t>
  </si>
  <si>
    <t>urn:lsid:artportalen.se:sighting:102551831</t>
  </si>
  <si>
    <t>Krister Aronsson</t>
  </si>
  <si>
    <t>urn:lsid:artportalen.se:sighting:99300012</t>
  </si>
  <si>
    <t>Tryde cykelspår, Sk</t>
  </si>
  <si>
    <t>urn:lsid:artportalen.se:sighting:124207975</t>
  </si>
  <si>
    <t>urn:lsid:artportalen.se:sighting:123935495</t>
  </si>
  <si>
    <t>urn:lsid:artportalen.se:sighting:123030670</t>
  </si>
  <si>
    <t>urn:lsid:artportalen.se:sighting:109734592</t>
  </si>
  <si>
    <t>urn:lsid:artportalen.se:sighting:132136926</t>
  </si>
  <si>
    <t>urn:lsid:artportalen.se:sighting:26343838</t>
  </si>
  <si>
    <t>urn:lsid:artportalen.se:sighting:32312737</t>
  </si>
  <si>
    <t>Peter Skoog</t>
  </si>
  <si>
    <t>urn:lsid:artportalen.se:sighting:36582000</t>
  </si>
  <si>
    <t>urn:lsid:artportalen.se:sighting:23860989</t>
  </si>
  <si>
    <t>Per Lagerås, Per Anders Bertilsson</t>
  </si>
  <si>
    <t>urn:lsid:artportalen.se:sighting:54504293</t>
  </si>
  <si>
    <t>urn:lsid:artportalen.se:sighting:60202625</t>
  </si>
  <si>
    <t>urn:lsid:artportalen.se:sighting:71806445</t>
  </si>
  <si>
    <t>urn:lsid:artportalen.se:sighting:72303228</t>
  </si>
  <si>
    <t>urn:lsid:artportalen.se:sighting:77481453</t>
  </si>
  <si>
    <t>urn:lsid:artportalen.se:sighting:126021220</t>
  </si>
  <si>
    <t>urn:lsid:artportalen.se:sighting:124840232</t>
  </si>
  <si>
    <t>urn:lsid:artportalen.se:sighting:124681981</t>
  </si>
  <si>
    <t>urn:lsid:artportalen.se:sighting:115354818</t>
  </si>
  <si>
    <t>urn:lsid:artportalen.se:sighting:108963017</t>
  </si>
  <si>
    <t>urn:lsid:artportalen.se:sighting:108368619</t>
  </si>
  <si>
    <t>Jens Ekdal</t>
  </si>
  <si>
    <t>urn:lsid:artportalen.se:sighting:107624495</t>
  </si>
  <si>
    <t>urn:lsid:artportalen.se:sighting:92098495</t>
  </si>
  <si>
    <t>urn:lsid:artportalen.se:sighting:100143106</t>
  </si>
  <si>
    <t>urn:lsid:artportalen.se:sighting:102142680</t>
  </si>
  <si>
    <t>Maratongatan,Tomelilla, Sk</t>
  </si>
  <si>
    <t>Per Persson</t>
  </si>
  <si>
    <t>urn:lsid:artportalen.se:sighting:98913756</t>
  </si>
  <si>
    <t>urn:lsid:artportalen.se:sighting:25784468</t>
  </si>
  <si>
    <t>urn:lsid:artportalen.se:sighting:27137907</t>
  </si>
  <si>
    <t>Per Björkman, Barbro Björkman, Kristoffer Nilsson</t>
  </si>
  <si>
    <t>urn:lsid:artportalen.se:sighting:28180873</t>
  </si>
  <si>
    <t>urn:lsid:artportalen.se:sighting:35432726</t>
  </si>
  <si>
    <t>Rolf G Gustafsson, Jan-Olov Johansson</t>
  </si>
  <si>
    <t>urn:lsid:artportalen.se:sighting:53671117</t>
  </si>
  <si>
    <t>Nedrarydsdammen, Benestad, Sk</t>
  </si>
  <si>
    <t>Michael Tholin</t>
  </si>
  <si>
    <t>urn:lsid:artportalen.se:sighting:51997308</t>
  </si>
  <si>
    <t>Petter Olsson, Bengt Andersson, Peter Olsson, Henrik Jonsson</t>
  </si>
  <si>
    <t>urn:lsid:artportalen.se:sighting:36201205</t>
  </si>
  <si>
    <t>urn:lsid:artportalen.se:sighting:36650675</t>
  </si>
  <si>
    <t>urn:lsid:artportalen.se:sighting:36182788</t>
  </si>
  <si>
    <t>urn:lsid:artportalen.se:sighting:43104673</t>
  </si>
  <si>
    <t>Thomas Jönsson</t>
  </si>
  <si>
    <t>urn:lsid:artportalen.se:sighting:85370208</t>
  </si>
  <si>
    <t>urn:lsid:artportalen.se:sighting:85147118</t>
  </si>
  <si>
    <t>urn:lsid:artportalen.se:sighting:86433661</t>
  </si>
  <si>
    <t>urn:lsid:artportalen.se:sighting:94641443</t>
  </si>
  <si>
    <t>Erik Tornberger</t>
  </si>
  <si>
    <t>urn:lsid:artportalen.se:sighting:93217610</t>
  </si>
  <si>
    <t>urn:lsid:artportalen.se:sighting:94203329</t>
  </si>
  <si>
    <t>urn:lsid:artportalen.se:sighting:66102237</t>
  </si>
  <si>
    <t>Conny Palm, Lennart Tullberg, Bodil Nyström, Bengt Adamsson</t>
  </si>
  <si>
    <t>urn:lsid:artportalen.se:sighting:77481467</t>
  </si>
  <si>
    <t>urn:lsid:artportalen.se:sighting:65447205</t>
  </si>
  <si>
    <t>urn:lsid:artportalen.se:sighting:84112649</t>
  </si>
  <si>
    <t>urn:lsid:artportalen.se:sighting:84703759</t>
  </si>
  <si>
    <t>urn:lsid:artportalen.se:sighting:79196657</t>
  </si>
  <si>
    <t>urn:lsid:artportalen.se:sighting:125073406</t>
  </si>
  <si>
    <t>urn:lsid:artportalen.se:sighting:118411362</t>
  </si>
  <si>
    <t>urn:lsid:artportalen.se:sighting:101945230</t>
  </si>
  <si>
    <t>Per Johan Ulfendahl</t>
  </si>
  <si>
    <t>urn:lsid:artportalen.se:sighting:99152578</t>
  </si>
  <si>
    <t>Ulf Mörte, Karin Olne</t>
  </si>
  <si>
    <t>urn:lsid:artportalen.se:sighting:98789936</t>
  </si>
  <si>
    <t>Henrik Ehrenberg, Monica Pedersen</t>
  </si>
  <si>
    <t>urn:lsid:artportalen.se:sighting:114269875</t>
  </si>
  <si>
    <t>Maj-Britt Oliw</t>
  </si>
  <si>
    <t>urn:lsid:artportalen.se:sighting:115829755</t>
  </si>
  <si>
    <t>urn:lsid:artportalen.se:sighting:108191592</t>
  </si>
  <si>
    <t>Jörgen Sagvik, Jenny Göransson, Olle Sagvik</t>
  </si>
  <si>
    <t>urn:lsid:artportalen.se:sighting:126375656</t>
  </si>
  <si>
    <t>urn:lsid:artportalen.se:sighting:125679901</t>
  </si>
  <si>
    <t>urn:lsid:artportalen.se:sighting:42437450</t>
  </si>
  <si>
    <t>urn:lsid:artportalen.se:sighting:39198722</t>
  </si>
  <si>
    <t>Sten Ljungars, Monica Ljungars</t>
  </si>
  <si>
    <t>urn:lsid:artportalen.se:sighting:41569122</t>
  </si>
  <si>
    <t>Berndt Lindberg, Kerstin Karlström, Per Thylén, Bill Karlström, Kirsi Oksman Ljungqvist, Maria Eriksson, Eva Åkesson, Lena Dahlkvist, Dan Larsson, Crister Eriksson</t>
  </si>
  <si>
    <t>urn:lsid:artportalen.se:sighting:42455526</t>
  </si>
  <si>
    <t>urn:lsid:artportalen.se:sighting:46656547</t>
  </si>
  <si>
    <t>urn:lsid:artportalen.se:sighting:45984286</t>
  </si>
  <si>
    <t>urn:lsid:artportalen.se:sighting:45427671</t>
  </si>
  <si>
    <t>urn:lsid:artportalen.se:sighting:17394240</t>
  </si>
  <si>
    <t>urn:lsid:artportalen.se:sighting:17402322</t>
  </si>
  <si>
    <t>urn:lsid:artportalen.se:sighting:29904716</t>
  </si>
  <si>
    <t>urn:lsid:artportalen.se:sighting:27104120</t>
  </si>
  <si>
    <t>urn:lsid:artportalen.se:sighting:28252098</t>
  </si>
  <si>
    <t>urn:lsid:artportalen.se:sighting:54434871</t>
  </si>
  <si>
    <t>urn:lsid:artportalen.se:sighting:53138988</t>
  </si>
  <si>
    <t>Monica Pedersen</t>
  </si>
  <si>
    <t>urn:lsid:artportalen.se:sighting:51571897</t>
  </si>
  <si>
    <t>Gunilla Hammarström, Lillebror Hammarström</t>
  </si>
  <si>
    <t>urn:lsid:artportalen.se:sighting:94239837</t>
  </si>
  <si>
    <t>Robert Rydbeck, Henrik Waldenström</t>
  </si>
  <si>
    <t>urn:lsid:artportalen.se:sighting:101243684</t>
  </si>
  <si>
    <t>Eva Edmert, Hans Norelius</t>
  </si>
  <si>
    <t>urn:lsid:artportalen.se:sighting:99427193</t>
  </si>
  <si>
    <t>urn:lsid:artportalen.se:sighting:102080842</t>
  </si>
  <si>
    <t>urn:lsid:artportalen.se:sighting:108368677</t>
  </si>
  <si>
    <t>urn:lsid:artportalen.se:sighting:109350421</t>
  </si>
  <si>
    <t>urn:lsid:artportalen.se:sighting:70430122</t>
  </si>
  <si>
    <t>urn:lsid:artportalen.se:sighting:78358087</t>
  </si>
  <si>
    <t>urn:lsid:artportalen.se:sighting:84112274</t>
  </si>
  <si>
    <t>urn:lsid:artportalen.se:sighting:85152450</t>
  </si>
  <si>
    <t>urn:lsid:artportalen.se:sighting:87355354</t>
  </si>
  <si>
    <t>urn:lsid:artportalen.se:sighting:110525825</t>
  </si>
  <si>
    <t>Tosselilla sommarland, Tomelilla, Sk</t>
  </si>
  <si>
    <t>urn:lsid:artportalen.se:sighting:118838050</t>
  </si>
  <si>
    <t>urn:lsid:artportalen.se:sighting:41720306</t>
  </si>
  <si>
    <t>Uno Unger, Berndt Lindberg, Nils Abrahamsson</t>
  </si>
  <si>
    <t>urn:lsid:artportalen.se:sighting:42455527</t>
  </si>
  <si>
    <t>urn:lsid:artportalen.se:sighting:35158207</t>
  </si>
  <si>
    <t>urn:lsid:artportalen.se:sighting:43205704</t>
  </si>
  <si>
    <t>Ulf Gärdenfors, Ragnar Hall</t>
  </si>
  <si>
    <t>urn:lsid:artportalen.se:sighting:36201204</t>
  </si>
  <si>
    <t>urn:lsid:artportalen.se:sighting:29897244</t>
  </si>
  <si>
    <t>Lars Teveborg, Jeanette Teveborg, Marcus Teveborg</t>
  </si>
  <si>
    <t>urn:lsid:artportalen.se:sighting:27169278</t>
  </si>
  <si>
    <t>Jan-Erik Eklund, Gunnel Forsström</t>
  </si>
  <si>
    <t>urn:lsid:artportalen.se:sighting:48972603</t>
  </si>
  <si>
    <t>urn:lsid:artportalen.se:sighting:66011490</t>
  </si>
  <si>
    <t>Christer Strid, Åsa Orrliden Strid</t>
  </si>
  <si>
    <t>urn:lsid:artportalen.se:sighting:71273165</t>
  </si>
  <si>
    <t>urn:lsid:artportalen.se:sighting:71226025</t>
  </si>
  <si>
    <t>urn:lsid:artportalen.se:sighting:71020107</t>
  </si>
  <si>
    <t>urn:lsid:artportalen.se:sighting:76828668</t>
  </si>
  <si>
    <t>urn:lsid:artportalen.se:sighting:78185575</t>
  </si>
  <si>
    <t>urn:lsid:artportalen.se:sighting:76255374</t>
  </si>
  <si>
    <t>Uno Unger, Tommy Järås, Berndt Lindberg</t>
  </si>
  <si>
    <t>urn:lsid:artportalen.se:sighting:86157023</t>
  </si>
  <si>
    <t>Zsombor Károlyi, Bengt Legnell</t>
  </si>
  <si>
    <t>urn:lsid:artportalen.se:sighting:86183160</t>
  </si>
  <si>
    <t>urn:lsid:artportalen.se:sighting:84150942</t>
  </si>
  <si>
    <t>urn:lsid:artportalen.se:sighting:85370111</t>
  </si>
  <si>
    <t>urn:lsid:artportalen.se:sighting:85739443</t>
  </si>
  <si>
    <t>urn:lsid:artportalen.se:sighting:78376468</t>
  </si>
  <si>
    <t>Anita  Ljungström, Barbro Axelsson</t>
  </si>
  <si>
    <t>urn:lsid:artportalen.se:sighting:77759865</t>
  </si>
  <si>
    <t>urn:lsid:artportalen.se:sighting:78354050</t>
  </si>
  <si>
    <t>Erik Tornberger, Anita  Ljungström, Anita Persson, Barbro Axelsson, Rolf Andersson, Åke Abrahamsson</t>
  </si>
  <si>
    <t>urn:lsid:artportalen.se:sighting:101809503</t>
  </si>
  <si>
    <t>urn:lsid:artportalen.se:sighting:101894926</t>
  </si>
  <si>
    <t>urn:lsid:artportalen.se:sighting:101939407</t>
  </si>
  <si>
    <t>urn:lsid:artportalen.se:sighting:107186480</t>
  </si>
  <si>
    <t>urn:lsid:artportalen.se:sighting:98870321</t>
  </si>
  <si>
    <t>urn:lsid:artportalen.se:sighting:115647103</t>
  </si>
  <si>
    <t>Anders Rydlöv</t>
  </si>
  <si>
    <t>urn:lsid:artportalen.se:sighting:116453937</t>
  </si>
  <si>
    <t>urn:lsid:artportalen.se:sighting:114896108</t>
  </si>
  <si>
    <t>Fyleån, Benestad, Sk</t>
  </si>
  <si>
    <t>Leif Karlsson, Thomas Nilsson</t>
  </si>
  <si>
    <t>urn:lsid:artportalen.se:sighting:117453783</t>
  </si>
  <si>
    <t>urn:lsid:artportalen.se:sighting:117206498</t>
  </si>
  <si>
    <t>urn:lsid:artportalen.se:sighting:118031269</t>
  </si>
  <si>
    <t>Per Nyberg, Per Johansson, Johan Nilsson</t>
  </si>
  <si>
    <t>urn:lsid:artportalen.se:sighting:132122199</t>
  </si>
  <si>
    <t>urn:lsid:artportalen.se:sighting:29884735</t>
  </si>
  <si>
    <t>Klas Karlsson</t>
  </si>
  <si>
    <t>urn:lsid:artportalen.se:sighting:32709067</t>
  </si>
  <si>
    <t>Örupsån, Tomelilla kommun, Sk</t>
  </si>
  <si>
    <t>urn:lsid:artportalen.se:sighting:26346540</t>
  </si>
  <si>
    <t>urn:lsid:artportalen.se:sighting:30048703</t>
  </si>
  <si>
    <t>Oscar Carheden</t>
  </si>
  <si>
    <t>urn:lsid:artportalen.se:sighting:29606768</t>
  </si>
  <si>
    <t>Annelie Andersson</t>
  </si>
  <si>
    <t>urn:lsid:artportalen.se:sighting:48618169</t>
  </si>
  <si>
    <t>urn:lsid:artportalen.se:sighting:49297366</t>
  </si>
  <si>
    <t>urn:lsid:artportalen.se:sighting:42361100</t>
  </si>
  <si>
    <t>urn:lsid:artportalen.se:sighting:43896499</t>
  </si>
  <si>
    <t>Kjell Södervall</t>
  </si>
  <si>
    <t>urn:lsid:artportalen.se:sighting:64821600</t>
  </si>
  <si>
    <t>urn:lsid:artportalen.se:sighting:57880159</t>
  </si>
  <si>
    <t>urn:lsid:artportalen.se:sighting:83038710</t>
  </si>
  <si>
    <t>urn:lsid:artportalen.se:sighting:82871915</t>
  </si>
  <si>
    <t>urn:lsid:artportalen.se:sighting:83038678</t>
  </si>
  <si>
    <t>urn:lsid:artportalen.se:sighting:57491955</t>
  </si>
  <si>
    <t>urn:lsid:artportalen.se:sighting:100743549</t>
  </si>
  <si>
    <t>urn:lsid:artportalen.se:sighting:71885258</t>
  </si>
  <si>
    <t>Lennart Falk, Björn Arvidsson</t>
  </si>
  <si>
    <t>urn:lsid:artportalen.se:sighting:72249483</t>
  </si>
  <si>
    <t>urn:lsid:artportalen.se:sighting:72397856</t>
  </si>
  <si>
    <t>urn:lsid:artportalen.se:sighting:56960114</t>
  </si>
  <si>
    <t>urn:lsid:artportalen.se:sighting:92294787</t>
  </si>
  <si>
    <t>urn:lsid:artportalen.se:sighting:94522578</t>
  </si>
  <si>
    <t>Coops parkering, Tomelilla, Sk</t>
  </si>
  <si>
    <t>urn:lsid:artportalen.se:sighting:96651283</t>
  </si>
  <si>
    <t>Arvid Wårfors, Johan Tallnäs</t>
  </si>
  <si>
    <t>urn:lsid:artportalen.se:sighting:125757757</t>
  </si>
  <si>
    <t>urn:lsid:artportalen.se:sighting:126375642</t>
  </si>
  <si>
    <t>urn:lsid:artportalen.se:sighting:124840254</t>
  </si>
  <si>
    <t>urn:lsid:artportalen.se:sighting:124840320</t>
  </si>
  <si>
    <t>urn:lsid:artportalen.se:sighting:107746585</t>
  </si>
  <si>
    <t>urn:lsid:artportalen.se:sighting:109967133</t>
  </si>
  <si>
    <t>Peter Berglin</t>
  </si>
  <si>
    <t>urn:lsid:artportalen.se:sighting:117188640</t>
  </si>
  <si>
    <t>urn:lsid:artportalen.se:sighting:117092965</t>
  </si>
  <si>
    <t>urn:lsid:artportalen.se:sighting:118481777</t>
  </si>
  <si>
    <t>urn:lsid:artportalen.se:sighting:116964712</t>
  </si>
  <si>
    <t>Debora Arlt</t>
  </si>
  <si>
    <t>urn:lsid:artportalen.se:sighting:23766806</t>
  </si>
  <si>
    <t>Mikael Svensson, Markus Tallroth, Per Anders Bertilsson, Sven Splittorff, Per Lagerås, Olof Strand, Johannes Tallroth</t>
  </si>
  <si>
    <t>urn:lsid:artportalen.se:sighting:31771321</t>
  </si>
  <si>
    <t>Ödemarksgården, Benestad, Sk</t>
  </si>
  <si>
    <t>urn:lsid:artportalen.se:sighting:32312738</t>
  </si>
  <si>
    <t>urn:lsid:artportalen.se:sighting:42445956</t>
  </si>
  <si>
    <t>urn:lsid:artportalen.se:sighting:42981624</t>
  </si>
  <si>
    <t>Pierre Unge</t>
  </si>
  <si>
    <t>urn:lsid:artportalen.se:sighting:41923969</t>
  </si>
  <si>
    <t>urn:lsid:artportalen.se:sighting:52062503</t>
  </si>
  <si>
    <t>Agneta Olsson</t>
  </si>
  <si>
    <t>urn:lsid:artportalen.se:sighting:60054535</t>
  </si>
  <si>
    <t>Conny Palm, Bodil Nyström, Lennart Tullberg, margareta andersson</t>
  </si>
  <si>
    <t>urn:lsid:artportalen.se:sighting:70554627</t>
  </si>
  <si>
    <t>Hans Lindfors, Marianne Lundberg Lindfors</t>
  </si>
  <si>
    <t>urn:lsid:artportalen.se:sighting:66236109</t>
  </si>
  <si>
    <t>urn:lsid:artportalen.se:sighting:78428447</t>
  </si>
  <si>
    <t>urn:lsid:artportalen.se:sighting:77221650</t>
  </si>
  <si>
    <t>urn:lsid:artportalen.se:sighting:77221841</t>
  </si>
  <si>
    <t>urn:lsid:artportalen.se:sighting:93798805</t>
  </si>
  <si>
    <t>Anne-Lis Krantz</t>
  </si>
  <si>
    <t>urn:lsid:artportalen.se:sighting:82510257</t>
  </si>
  <si>
    <t>urn:lsid:artportalen.se:sighting:85739415</t>
  </si>
  <si>
    <t>urn:lsid:artportalen.se:sighting:84150899</t>
  </si>
  <si>
    <t>urn:lsid:artportalen.se:sighting:78358097</t>
  </si>
  <si>
    <t>urn:lsid:artportalen.se:sighting:78505669</t>
  </si>
  <si>
    <t>Nils Eriksson</t>
  </si>
  <si>
    <t>urn:lsid:artportalen.se:sighting:78040440</t>
  </si>
  <si>
    <t>urn:lsid:artportalen.se:sighting:78699684</t>
  </si>
  <si>
    <t>urn:lsid:artportalen.se:sighting:100419845</t>
  </si>
  <si>
    <t>urn:lsid:artportalen.se:sighting:101093747</t>
  </si>
  <si>
    <t>Weine Erlandsson, Ingrid Åkerberg</t>
  </si>
  <si>
    <t>urn:lsid:artportalen.se:sighting:108046100</t>
  </si>
  <si>
    <t>urn:lsid:artportalen.se:sighting:110525829</t>
  </si>
  <si>
    <t>urn:lsid:artportalen.se:sighting:115303863</t>
  </si>
  <si>
    <t>urn:lsid:artportalen.se:sighting:117093018</t>
  </si>
  <si>
    <t>urn:lsid:artportalen.se:sighting:118128608</t>
  </si>
  <si>
    <t>urn:lsid:artportalen.se:sighting:124840290</t>
  </si>
  <si>
    <t>urn:lsid:artportalen.se:sighting:126375661</t>
  </si>
  <si>
    <t>urn:lsid:artportalen.se:sighting:132136903</t>
  </si>
  <si>
    <t>urn:lsid:artportalen.se:sighting:36526397</t>
  </si>
  <si>
    <t>Jörgen Hansson, Rolf H Hansson</t>
  </si>
  <si>
    <t>urn:lsid:artportalen.se:sighting:35937559</t>
  </si>
  <si>
    <t>urn:lsid:artportalen.se:sighting:38268586</t>
  </si>
  <si>
    <t>Stefan Hage</t>
  </si>
  <si>
    <t>urn:lsid:artportalen.se:sighting:43373415</t>
  </si>
  <si>
    <t>honfärgad</t>
  </si>
  <si>
    <t>urn:lsid:artportalen.se:sighting:41569121</t>
  </si>
  <si>
    <t>Berndt Lindberg, Kerstin Karlström, Dan Larsson, Lena Dahlkvist, Ingvor Svensson, Bill Karlström, Kirsi Oksman Ljungqvist, Maria Eriksson, Crister Eriksson</t>
  </si>
  <si>
    <t>urn:lsid:artportalen.se:sighting:43054909</t>
  </si>
  <si>
    <t>urn:lsid:artportalen.se:sighting:42453060</t>
  </si>
  <si>
    <t>urn:lsid:artportalen.se:sighting:42453061</t>
  </si>
  <si>
    <t>Anders Sennmalm, Johan Södercrantz</t>
  </si>
  <si>
    <t>urn:lsid:artportalen.se:sighting:31527147</t>
  </si>
  <si>
    <t>Stig E Karlsson, Annelie Andersson, Kent-Ove Hvass</t>
  </si>
  <si>
    <t>urn:lsid:artportalen.se:sighting:26899185</t>
  </si>
  <si>
    <t>urn:lsid:artportalen.se:sighting:28578825</t>
  </si>
  <si>
    <t>urn:lsid:artportalen.se:sighting:29542255</t>
  </si>
  <si>
    <t>urn:lsid:artportalen.se:sighting:88268791</t>
  </si>
  <si>
    <t>urn:lsid:artportalen.se:sighting:53841846</t>
  </si>
  <si>
    <t>Tegelbruket, Fyledalen, Sk</t>
  </si>
  <si>
    <t>Sigvard Svensson</t>
  </si>
  <si>
    <t>urn:lsid:artportalen.se:sighting:53467846</t>
  </si>
  <si>
    <t>Skogsbacken, Tomelilla, Sk</t>
  </si>
  <si>
    <t>urn:lsid:artportalen.se:sighting:50174432</t>
  </si>
  <si>
    <t>Bengt Bengtsson</t>
  </si>
  <si>
    <t>urn:lsid:artportalen.se:sighting:49462697</t>
  </si>
  <si>
    <t>urn:lsid:artportalen.se:sighting:52596660</t>
  </si>
  <si>
    <t>Kronoskogen Byåsabacken, Ramsåsa, Sk</t>
  </si>
  <si>
    <t>urn:lsid:artportalen.se:sighting:49783866</t>
  </si>
  <si>
    <t>Gert Ljungqvist</t>
  </si>
  <si>
    <t>urn:lsid:artportalen.se:sighting:64514511</t>
  </si>
  <si>
    <t>Bosse Ohlsson, Kristin Lindahl, Gunilla Edvardsson</t>
  </si>
  <si>
    <t>urn:lsid:artportalen.se:sighting:81192120</t>
  </si>
  <si>
    <t>urn:lsid:artportalen.se:sighting:78446741</t>
  </si>
  <si>
    <t>Anna Rydbeck</t>
  </si>
  <si>
    <t>urn:lsid:artportalen.se:sighting:78428656</t>
  </si>
  <si>
    <t>urn:lsid:artportalen.se:sighting:104137790</t>
  </si>
  <si>
    <t>Anders Jörneskog</t>
  </si>
  <si>
    <t>urn:lsid:artportalen.se:sighting:102267691</t>
  </si>
  <si>
    <t>urn:lsid:artportalen.se:sighting:100763474</t>
  </si>
  <si>
    <t>urn:lsid:artportalen.se:sighting:125679779</t>
  </si>
  <si>
    <t>urn:lsid:artportalen.se:sighting:125679895</t>
  </si>
  <si>
    <t>urn:lsid:artportalen.se:sighting:123312965</t>
  </si>
  <si>
    <t>Örup, Sk</t>
  </si>
  <si>
    <t>urn:lsid:artportalen.se:sighting:123249231</t>
  </si>
  <si>
    <t>urn:lsid:artportalen.se:sighting:124208021</t>
  </si>
  <si>
    <t>urn:lsid:artportalen.se:sighting:109703101</t>
  </si>
  <si>
    <t>urn:lsid:artportalen.se:sighting:109550115</t>
  </si>
  <si>
    <t>Tomelilla torg, Sk</t>
  </si>
  <si>
    <t>urn:lsid:artportalen.se:sighting:119544879</t>
  </si>
  <si>
    <t>urn:lsid:artportalen.se:sighting:116643821</t>
  </si>
  <si>
    <t>urn:lsid:artportalen.se:sighting:115467355</t>
  </si>
  <si>
    <t>urn:lsid:artportalen.se:sighting:115632740</t>
  </si>
  <si>
    <t>Inger Svensson</t>
  </si>
  <si>
    <t>urn:lsid:artportalen.se:sighting:115868389</t>
  </si>
  <si>
    <t>urn:lsid:artportalen.se:sighting:115647108</t>
  </si>
  <si>
    <t>urn:lsid:artportalen.se:sighting:23604267</t>
  </si>
  <si>
    <t>urn:lsid:artportalen.se:sighting:36328046</t>
  </si>
  <si>
    <t>Börje Broström</t>
  </si>
  <si>
    <t>urn:lsid:artportalen.se:sighting:36182789</t>
  </si>
  <si>
    <t>urn:lsid:artportalen.se:sighting:41720305</t>
  </si>
  <si>
    <t>urn:lsid:artportalen.se:sighting:38989133</t>
  </si>
  <si>
    <t>urn:lsid:artportalen.se:sighting:36040615</t>
  </si>
  <si>
    <t>urn:lsid:artportalen.se:sighting:59633704</t>
  </si>
  <si>
    <t>Michael Löfroth</t>
  </si>
  <si>
    <t>urn:lsid:artportalen.se:sighting:64514500</t>
  </si>
  <si>
    <t>urn:lsid:artportalen.se:sighting:65358023</t>
  </si>
  <si>
    <t>Ingrid Åkerberg, Weine Erlandsson</t>
  </si>
  <si>
    <t>urn:lsid:artportalen.se:sighting:53139003</t>
  </si>
  <si>
    <t>urn:lsid:artportalen.se:sighting:48562598</t>
  </si>
  <si>
    <t>urn:lsid:artportalen.se:sighting:45980929</t>
  </si>
  <si>
    <t>urn:lsid:artportalen.se:sighting:76828686</t>
  </si>
  <si>
    <t>urn:lsid:artportalen.se:sighting:76921199</t>
  </si>
  <si>
    <t>Leki bil, Sk</t>
  </si>
  <si>
    <t>urn:lsid:artportalen.se:sighting:76773333</t>
  </si>
  <si>
    <t>urn:lsid:artportalen.se:sighting:78040356</t>
  </si>
  <si>
    <t>urn:lsid:artportalen.se:sighting:78164759</t>
  </si>
  <si>
    <t>Per Johansson, Per Nyberg</t>
  </si>
  <si>
    <t>urn:lsid:artportalen.se:sighting:79398545</t>
  </si>
  <si>
    <t>Tomelilla Norra industriområde, Sk</t>
  </si>
  <si>
    <t>Anders Wånge Kjellsson</t>
  </si>
  <si>
    <t>urn:lsid:artportalen.se:sighting:70878454</t>
  </si>
  <si>
    <t>Ulf Persson, Anita Markusson</t>
  </si>
  <si>
    <t>urn:lsid:artportalen.se:sighting:82871913</t>
  </si>
  <si>
    <t>urn:lsid:artportalen.se:sighting:84150906</t>
  </si>
  <si>
    <t>urn:lsid:artportalen.se:sighting:85739384</t>
  </si>
  <si>
    <t>urn:lsid:artportalen.se:sighting:85044596</t>
  </si>
  <si>
    <t>urn:lsid:artportalen.se:sighting:125687069</t>
  </si>
  <si>
    <t>urn:lsid:artportalen.se:sighting:124840308</t>
  </si>
  <si>
    <t>urn:lsid:artportalen.se:sighting:125541861</t>
  </si>
  <si>
    <t>urn:lsid:artportalen.se:sighting:126111358</t>
  </si>
  <si>
    <t>Magnus Andersson</t>
  </si>
  <si>
    <t>urn:lsid:artportalen.se:sighting:109468997</t>
  </si>
  <si>
    <t>urn:lsid:artportalen.se:sighting:114893999</t>
  </si>
  <si>
    <t>urn:lsid:artportalen.se:sighting:109972460</t>
  </si>
  <si>
    <t>urn:lsid:artportalen.se:sighting:107624461</t>
  </si>
  <si>
    <t>urn:lsid:artportalen.se:sighting:115632717</t>
  </si>
  <si>
    <t>urn:lsid:artportalen.se:sighting:116522006</t>
  </si>
  <si>
    <t>Tryde 1303, Sk</t>
  </si>
  <si>
    <t>urn:lsid:artportalen.se:sighting:109978847</t>
  </si>
  <si>
    <t>Magnus Hallgren, Anders Skoglöf, Carina Skoglöf</t>
  </si>
  <si>
    <t>urn:lsid:artportalen.se:sighting:99300029</t>
  </si>
  <si>
    <t>urn:lsid:artportalen.se:sighting:99992458</t>
  </si>
  <si>
    <t>urn:lsid:artportalen.se:sighting:123030704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</si>
</sst>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Aptos Narrow"/>
    </font>
    <font>
      <b/>
      <sz val="11"/>
      <color rgb="FFFFFFFF"/>
      <name val="Aptos Narrow"/>
      <family val="2"/>
    </font>
    <font>
      <sz val="11"/>
      <name val="Aptos Narrow"/>
      <family val="2"/>
    </font>
    <font>
      <b/>
      <sz val="11"/>
      <name val="Aptos Narrow"/>
      <family val="2"/>
    </font>
    <font>
      <sz val="14"/>
      <color rgb="FF000000"/>
      <name val="Source Sans Pro Black"/>
      <family val="2"/>
    </font>
    <font>
      <sz val="11"/>
      <color rgb="FF000000"/>
      <name val="Aptos Narrow"/>
      <family val="2"/>
    </font>
  </fonts>
  <fills count="3">
    <fill>
      <patternFill patternType="none"/>
    </fill>
    <fill>
      <patternFill patternType="gray125"/>
    </fill>
    <fill>
      <patternFill patternType="solid">
        <fgColor rgb="FF4F81BD"/>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2" fillId="0" borderId="0" xfId="0" applyFont="1"/>
    <xf numFmtId="0" fontId="3" fillId="0" borderId="0" xfId="0" applyFont="1"/>
    <xf numFmtId="14" fontId="0" fillId="0" borderId="0" xfId="0" applyNumberFormat="1"/>
    <xf numFmtId="20" fontId="0" fillId="0" borderId="0" xfId="0" applyNumberFormat="1"/>
  </cellXfs>
  <cellStyles count="1">
    <cellStyle name="Normal" xfId="0" builtinId="0"/>
  </cellStyles>
  <dxfs count="1">
    <dxf>
      <font>
        <b/>
        <i val="0"/>
        <strike val="0"/>
        <condense val="0"/>
        <extend val="0"/>
        <outline val="0"/>
        <shadow val="0"/>
        <u val="none"/>
        <vertAlign val="baseline"/>
        <sz val="11"/>
        <color rgb="FFFFFFFF"/>
        <name val="Aptos Narrow"/>
        <scheme val="none"/>
      </font>
      <fill>
        <patternFill patternType="solid">
          <fgColor indexed="64"/>
          <bgColor rgb="FF4F81B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69850</xdr:colOff>
      <xdr:row>2</xdr:row>
      <xdr:rowOff>38100</xdr:rowOff>
    </xdr:from>
    <xdr:to>
      <xdr:col>7</xdr:col>
      <xdr:colOff>558800</xdr:colOff>
      <xdr:row>5</xdr:row>
      <xdr:rowOff>177800</xdr:rowOff>
    </xdr:to>
    <xdr:sp macro="" textlink="">
      <xdr:nvSpPr>
        <xdr:cNvPr id="2" name="textruta 1">
          <a:extLst>
            <a:ext uri="{FF2B5EF4-FFF2-40B4-BE49-F238E27FC236}">
              <a16:creationId xmlns:a16="http://schemas.microsoft.com/office/drawing/2014/main" id="{D65BA183-5D47-7B20-E29C-AF4E555CD4DD}"/>
            </a:ext>
          </a:extLst>
        </xdr:cNvPr>
        <xdr:cNvSpPr txBox="1"/>
      </xdr:nvSpPr>
      <xdr:spPr>
        <a:xfrm>
          <a:off x="679450" y="406400"/>
          <a:ext cx="4146550" cy="692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Välkommen till den automatiska tabellskaparen</a:t>
          </a:r>
          <a:r>
            <a:rPr lang="sv-SE" sz="1100" baseline="0"/>
            <a:t> för fågelrapporter</a:t>
          </a:r>
        </a:p>
        <a:p>
          <a:r>
            <a:rPr lang="sv-SE" sz="1100" baseline="0"/>
            <a:t>Excelmall skapad av Olof Åström 2026-04-07</a:t>
          </a:r>
        </a:p>
        <a:p>
          <a:r>
            <a:rPr lang="sv-SE" sz="1100" baseline="0"/>
            <a:t>Version 0.1 "Skåne"</a:t>
          </a:r>
        </a:p>
        <a:p>
          <a:endParaRPr lang="sv-SE" sz="1100" baseline="0"/>
        </a:p>
        <a:p>
          <a:br>
            <a:rPr lang="sv-SE" sz="1100">
              <a:solidFill>
                <a:schemeClr val="dk1"/>
              </a:solidFill>
              <a:effectLst/>
              <a:latin typeface="+mn-lt"/>
              <a:ea typeface="+mn-ea"/>
              <a:cs typeface="+mn-cs"/>
            </a:rPr>
          </a:br>
          <a:br>
            <a:rPr lang="sv-SE" sz="1100" baseline="0">
              <a:solidFill>
                <a:schemeClr val="dk1"/>
              </a:solidFill>
              <a:effectLst/>
              <a:latin typeface="+mn-lt"/>
              <a:ea typeface="+mn-ea"/>
              <a:cs typeface="+mn-cs"/>
            </a:rPr>
          </a:br>
          <a:br>
            <a:rPr lang="sv-SE" sz="1100" baseline="0">
              <a:solidFill>
                <a:schemeClr val="dk1"/>
              </a:solidFill>
              <a:effectLst/>
              <a:latin typeface="+mn-lt"/>
              <a:ea typeface="+mn-ea"/>
              <a:cs typeface="+mn-cs"/>
            </a:rPr>
          </a:br>
          <a:endParaRPr lang="sv-SE" sz="1100" baseline="0"/>
        </a:p>
        <a:p>
          <a:endParaRPr lang="sv-SE" sz="1100"/>
        </a:p>
      </xdr:txBody>
    </xdr:sp>
    <xdr:clientData/>
  </xdr:twoCellAnchor>
  <xdr:twoCellAnchor>
    <xdr:from>
      <xdr:col>1</xdr:col>
      <xdr:colOff>63500</xdr:colOff>
      <xdr:row>6</xdr:row>
      <xdr:rowOff>95250</xdr:rowOff>
    </xdr:from>
    <xdr:to>
      <xdr:col>12</xdr:col>
      <xdr:colOff>69850</xdr:colOff>
      <xdr:row>18</xdr:row>
      <xdr:rowOff>12700</xdr:rowOff>
    </xdr:to>
    <xdr:sp macro="" textlink="">
      <xdr:nvSpPr>
        <xdr:cNvPr id="3" name="textruta 2">
          <a:extLst>
            <a:ext uri="{FF2B5EF4-FFF2-40B4-BE49-F238E27FC236}">
              <a16:creationId xmlns:a16="http://schemas.microsoft.com/office/drawing/2014/main" id="{57B61A39-5AEE-207C-F9C7-4628B1947695}"/>
            </a:ext>
          </a:extLst>
        </xdr:cNvPr>
        <xdr:cNvSpPr txBox="1"/>
      </xdr:nvSpPr>
      <xdr:spPr>
        <a:xfrm>
          <a:off x="673100" y="1200150"/>
          <a:ext cx="6711950" cy="212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Instruktioner för användning:</a:t>
          </a:r>
          <a:br>
            <a:rPr lang="sv-SE" sz="1100"/>
          </a:br>
          <a:r>
            <a:rPr lang="sv-SE" sz="1100"/>
            <a:t>1. Gör</a:t>
          </a:r>
          <a:r>
            <a:rPr lang="sv-SE" sz="1100" baseline="0"/>
            <a:t> ett utsök i fynddata med taxonlistan för natuvårdsrelevanta fågelarter. Taxonlistan hittar du under flik för respektive län i detta dokument, exempelvis "Skåne_NVR_arter". Under Sökning/Fyndegenskaper, under rubriken aktiviteter, välj rullsistan för "Häckningskriterier för fåglar" och ställ in önskat lägsta häckningskriterie, t.ex. "obs i häcktid, lämplig biotop", eller "spel/sång" eller "permanent revir" osv. Välj att endast använda artportalen som källa under Datatset. Klicka på VIsa fynd, sedan Export, välj "Basic" under kolumner och ladda ner i excelformat.</a:t>
          </a:r>
        </a:p>
        <a:p>
          <a:r>
            <a:rPr lang="sv-SE" sz="1100" baseline="0"/>
            <a:t>2. Klicka på "Skapa tabell" och välj den exporterade excelfilen.</a:t>
          </a:r>
        </a:p>
        <a:p>
          <a:r>
            <a:rPr lang="sv-SE" sz="1100" baseline="0"/>
            <a:t>3. Gå in i "Rapporttabell". Där ligger din färdiga tabell.</a:t>
          </a:r>
        </a:p>
        <a:p>
          <a:r>
            <a:rPr lang="sv-SE" sz="1100" baseline="0"/>
            <a:t>4. Rensa tabell efter behov.</a:t>
          </a:r>
        </a:p>
        <a:p>
          <a:endParaRPr lang="sv-SE" sz="1100" baseline="0"/>
        </a:p>
        <a:p>
          <a:r>
            <a:rPr lang="sv-SE" sz="1100" baseline="0"/>
            <a:t>Ifall det inte funkar: Gå till fliken utvecklare här i excel, klicka på makrosäkerhet och tillåt excel att köra makros.</a:t>
          </a:r>
        </a:p>
      </xdr:txBody>
    </xdr:sp>
    <xdr:clientData/>
  </xdr:twoCellAnchor>
  <mc:AlternateContent xmlns:mc="http://schemas.openxmlformats.org/markup-compatibility/2006">
    <mc:Choice xmlns:a14="http://schemas.microsoft.com/office/drawing/2010/main" Requires="a14">
      <xdr:twoCellAnchor>
        <xdr:from>
          <xdr:col>1</xdr:col>
          <xdr:colOff>480060</xdr:colOff>
          <xdr:row>18</xdr:row>
          <xdr:rowOff>83820</xdr:rowOff>
        </xdr:from>
        <xdr:to>
          <xdr:col>5</xdr:col>
          <xdr:colOff>137160</xdr:colOff>
          <xdr:row>21</xdr:row>
          <xdr:rowOff>175260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v-SE" sz="1400" b="0" i="0" u="none" strike="noStrike" baseline="0">
                  <a:solidFill>
                    <a:srgbClr val="000000"/>
                  </a:solidFill>
                  <a:latin typeface="Source Sans Pro Black"/>
                </a:rPr>
                <a:t>Skapa tabell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510540</xdr:colOff>
          <xdr:row>22</xdr:row>
          <xdr:rowOff>68580</xdr:rowOff>
        </xdr:from>
        <xdr:to>
          <xdr:col>5</xdr:col>
          <xdr:colOff>76200</xdr:colOff>
          <xdr:row>25</xdr:row>
          <xdr:rowOff>137160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ptos Narrow"/>
                </a:rPr>
                <a:t>Rensa tabell</a:t>
              </a:r>
            </a:p>
          </xdr:txBody>
        </xdr:sp>
        <xdr:clientData fPrintsWithSheet="0"/>
      </xdr:twoCellAnchor>
    </mc:Choice>
    <mc:Fallback/>
  </mc:AlternateContent>
  <xdr:twoCellAnchor>
    <xdr:from>
      <xdr:col>12</xdr:col>
      <xdr:colOff>520700</xdr:colOff>
      <xdr:row>4</xdr:row>
      <xdr:rowOff>31750</xdr:rowOff>
    </xdr:from>
    <xdr:to>
      <xdr:col>17</xdr:col>
      <xdr:colOff>596900</xdr:colOff>
      <xdr:row>22</xdr:row>
      <xdr:rowOff>38100</xdr:rowOff>
    </xdr:to>
    <xdr:sp macro="" textlink="">
      <xdr:nvSpPr>
        <xdr:cNvPr id="4" name="textruta 3">
          <a:extLst>
            <a:ext uri="{FF2B5EF4-FFF2-40B4-BE49-F238E27FC236}">
              <a16:creationId xmlns:a16="http://schemas.microsoft.com/office/drawing/2014/main" id="{8D1CC202-18E1-B00C-F88E-E4A97EBF506D}"/>
            </a:ext>
          </a:extLst>
        </xdr:cNvPr>
        <xdr:cNvSpPr txBox="1"/>
      </xdr:nvSpPr>
      <xdr:spPr>
        <a:xfrm>
          <a:off x="7835900" y="768350"/>
          <a:ext cx="3124200" cy="332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solidFill>
                <a:schemeClr val="dk1"/>
              </a:solidFill>
              <a:effectLst/>
              <a:latin typeface="+mn-lt"/>
              <a:ea typeface="+mn-ea"/>
              <a:cs typeface="+mn-cs"/>
            </a:rPr>
            <a:t>Denna</a:t>
          </a:r>
          <a:r>
            <a:rPr lang="sv-SE" sz="1100" baseline="0">
              <a:solidFill>
                <a:schemeClr val="dk1"/>
              </a:solidFill>
              <a:effectLst/>
              <a:latin typeface="+mn-lt"/>
              <a:ea typeface="+mn-ea"/>
              <a:cs typeface="+mn-cs"/>
            </a:rPr>
            <a:t> mall är tänk att användas för framtagande av tabeller över tidigare observerade naturvårdsrelevanta fågelarter. Den fungerar (ännu) inte med ej naturvårdsrelevanta fågelarter, men kan absolut modifieras för att göra det.</a:t>
          </a:r>
          <a:endParaRPr lang="sv-SE">
            <a:effectLst/>
          </a:endParaRPr>
        </a:p>
        <a:p>
          <a:r>
            <a:rPr lang="sv-SE" sz="1100" baseline="0">
              <a:solidFill>
                <a:schemeClr val="dk1"/>
              </a:solidFill>
              <a:effectLst/>
              <a:latin typeface="+mn-lt"/>
              <a:ea typeface="+mn-ea"/>
              <a:cs typeface="+mn-cs"/>
            </a:rPr>
            <a:t>Tabellen sorteras taxonomiskt (globalsortorder), men det är bara att kopiera tabellen och sortera efter alfabetiskt om man  vill det.</a:t>
          </a:r>
        </a:p>
        <a:p>
          <a:endParaRPr lang="sv-SE" sz="1100" baseline="0">
            <a:solidFill>
              <a:schemeClr val="dk1"/>
            </a:solidFill>
            <a:effectLst/>
            <a:latin typeface="+mn-lt"/>
            <a:ea typeface="+mn-ea"/>
            <a:cs typeface="+mn-cs"/>
          </a:endParaRPr>
        </a:p>
        <a:p>
          <a:r>
            <a:rPr lang="sv-SE" sz="1100" baseline="0">
              <a:solidFill>
                <a:schemeClr val="dk1"/>
              </a:solidFill>
              <a:effectLst/>
              <a:latin typeface="+mn-lt"/>
              <a:ea typeface="+mn-ea"/>
              <a:cs typeface="+mn-cs"/>
            </a:rPr>
            <a:t>I kolumnen "Förekomst/häckningsstatus" är de tre tyngsta häckningskriterierna med. Ev. kan man byta namn på den till just typ "Häckningsaktivitet". Är det fler än tre så sorteras mindre värda aktiviteter bort, se fliken aktiviteter för sortering (Från par i lämplig biotop under häcktid och uppåt är från fynddatas egen sortering, de under har jag bara klistrat in för resiliens).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279400</xdr:colOff>
      <xdr:row>2</xdr:row>
      <xdr:rowOff>88900</xdr:rowOff>
    </xdr:from>
    <xdr:to>
      <xdr:col>12</xdr:col>
      <xdr:colOff>304800</xdr:colOff>
      <xdr:row>7</xdr:row>
      <xdr:rowOff>165100</xdr:rowOff>
    </xdr:to>
    <xdr:sp macro="" textlink="">
      <xdr:nvSpPr>
        <xdr:cNvPr id="2" name="textruta 1">
          <a:extLst>
            <a:ext uri="{FF2B5EF4-FFF2-40B4-BE49-F238E27FC236}">
              <a16:creationId xmlns:a16="http://schemas.microsoft.com/office/drawing/2014/main" id="{E67EC558-8517-864F-48E4-D610E2E4BD8A}"/>
            </a:ext>
          </a:extLst>
        </xdr:cNvPr>
        <xdr:cNvSpPr txBox="1"/>
      </xdr:nvSpPr>
      <xdr:spPr>
        <a:xfrm>
          <a:off x="10877550" y="457200"/>
          <a:ext cx="1854200" cy="99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LLP = liten lokal population för aktuellt län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5179E0-E5C3-4C59-AE18-2809C6690292}" name="Tabell1" displayName="Tabell1" ref="A1:AM651" totalsRowShown="0" headerRowDxfId="0">
  <autoFilter ref="A1:AM651" xr:uid="{6A5179E0-E5C3-4C59-AE18-2809C6690292}"/>
  <sortState xmlns:xlrd2="http://schemas.microsoft.com/office/spreadsheetml/2017/richdata2" ref="A2:AM2">
    <sortCondition ref="AE2" customList="bo,ägg/ungar,bo,hörda ungar,misslyckad häckning,ruvande,äggskal,föda åt ungar,bär exkrementsäck,besöker bebott bo,pulli/nyligen flygga ungar,nyligen använt bo,avledningsbeteende,bobygge,ruvfläckar,upprörd,varnande,bobesök?,parning/parningsceremonier,permanent revir,par i lämplig häckbiotop,spel/sång,obs i häcktid,lämplig biotop,rastande,stationär,förbiflygande,födosökande,lockläte,övriga läten,övernattning,revir,ej häckning,ringmärktes,individmärkt,sträckförsök,sträckande,sträckande N,sträckande NO,sträckande O,sträckande SO,sträckande S,sträckande SV,sträckande V,sträckande NV,död,krockat med kraftledning,död,krockat med vindkraftverk,död,krockat med fönster,död,krockat med fyr,trafikdödad,död,krockat med flygplan,död,krockat med staket,dödad av elektricitet,drunknad i fiskenät,dödad av predator,död av sjukdom/svält,funnen död,färska spår,äldre spår,färsk spillning,äldre spillning,gammalt bo"/>
  </sortState>
  <tableColumns count="39">
    <tableColumn id="1" xr3:uid="{5D423A38-5416-40CE-83A1-535E34DCF1B2}" name="Observation GUID"/>
    <tableColumn id="2" xr3:uid="{C301E28C-37B3-40AE-85EC-4B8A5186596A}" name="Påträffad"/>
    <tableColumn id="3" xr3:uid="{F6AD95D1-CF72-4813-B0E0-9CF3F9BFFA40}" name="Taxon ID"/>
    <tableColumn id="4" xr3:uid="{CFC5EBE9-0298-4DE1-B744-060631B788A1}" name="Vetenskapligt namn"/>
    <tableColumn id="5" xr3:uid="{89A8B892-8C29-4E39-ABEE-73A42D8D5AF6}" name="Svenskt namn"/>
    <tableColumn id="6" xr3:uid="{EFCA1CD2-608B-4838-A404-4FD269F85054}" name="Taxonkategori"/>
    <tableColumn id="7" xr3:uid="{86EB2F6E-A320-4E1C-810C-B64FE662080E}" name="Organismgrupp"/>
    <tableColumn id="8" xr3:uid="{940E0986-B0D7-40FC-88ED-7A6577CA3F1B}" name="Rödlistekategori"/>
    <tableColumn id="9" xr3:uid="{CE2F6AB0-2E6A-4CFA-ACAA-F0386380C1C8}" name="Observationens skyddsklass"/>
    <tableColumn id="10" xr3:uid="{B0ED5491-E6B2-4636-9CF8-DF1C1B5F634C}" name="Startdatum"/>
    <tableColumn id="11" xr3:uid="{B2A0BF2B-0466-4D35-9ACF-EB916B5DED10}" name="Slutdatum"/>
    <tableColumn id="12" xr3:uid="{520645A8-240A-4A69-A971-BAE4FD6D00E5}" name="Starttid"/>
    <tableColumn id="13" xr3:uid="{6AEC7449-EDCA-457B-93DB-F1384D8B429A}" name="Sluttid"/>
    <tableColumn id="14" xr3:uid="{B0F2D667-F723-4AB4-BE58-4BD260F160A6}" name="WGS84 decimal (lat)"/>
    <tableColumn id="15" xr3:uid="{BA0FF76B-C3FB-4F08-B83E-111E7D14788C}" name="WGS84 decimal (lon)"/>
    <tableColumn id="16" xr3:uid="{B1F702C2-D785-4B35-97CF-54A625E7B8B7}" name="SWEREF99TM X (öst)"/>
    <tableColumn id="17" xr3:uid="{22CE010A-BAF7-4ED9-A2BB-59A4292762AD}" name="SWEREF99TM Y (nord)"/>
    <tableColumn id="18" xr3:uid="{A6ED8F1C-0D43-44A1-B3B2-6AD8C2A0BAED}" name="Geodetiskt datum"/>
    <tableColumn id="19" xr3:uid="{C3CDAA59-AEA8-4832-96BD-E1A9042F825D}" name="Koordinatnoggrannhet (m)"/>
    <tableColumn id="20" xr3:uid="{3974CC26-9464-435A-80D6-60315E100147}" name="Lokal"/>
    <tableColumn id="21" xr3:uid="{C1053E8D-D14B-45A2-9DB1-E079BD011E86}" name="Församling"/>
    <tableColumn id="22" xr3:uid="{51228659-E40A-4DA6-B3E5-387415E46810}" name="Kommun"/>
    <tableColumn id="23" xr3:uid="{9630BE63-66B6-4F08-9D09-BFA196E066FC}" name="Län"/>
    <tableColumn id="24" xr3:uid="{304C822D-A935-4697-82A7-35D976B23FD9}" name="Landskap"/>
    <tableColumn id="25" xr3:uid="{CD58B48E-CE88-4E0D-9EB6-DDD027671462}" name="Observatör"/>
    <tableColumn id="26" xr3:uid="{89B9A4CF-97A7-4D48-BCFB-2CD2C781845F}" name="Antal individer"/>
    <tableColumn id="27" xr3:uid="{05BA6F8B-AC41-4356-B768-483C967768B4}" name="Organismkvantitet"/>
    <tableColumn id="28" xr3:uid="{D8807C43-3CB4-41EF-91B5-C82C19B6A0F9}" name="Organismkvantitetsenhet"/>
    <tableColumn id="29" xr3:uid="{7DC1B9E1-C477-4623-8F04-6D4DD6FA43E6}" name="Stadium/ålder"/>
    <tableColumn id="30" xr3:uid="{472EF06C-D2F6-4DFE-9CE9-D06BEEA42C18}" name="Kön"/>
    <tableColumn id="31" xr3:uid="{8D5FA7CC-B1A0-4922-ABD8-C73028594437}" name="Aktivitet (Artportalen)"/>
    <tableColumn id="32" xr3:uid="{2CB8116F-0441-44F0-B396-9965DF8ACCAC}" name="Verifieringsstatus"/>
    <tableColumn id="33" xr3:uid="{8A038832-7A76-4BBD-8250-4B7892315826}" name="Osäker artbestämning"/>
    <tableColumn id="34" xr3:uid="{290F9A39-9186-4A73-92DD-CD832E0E9092}" name="Aldrig funnen"/>
    <tableColumn id="35" xr3:uid="{4E18A585-575A-4965-B5B8-8950F9DB7F83}" name="Ej återfunnen"/>
    <tableColumn id="36" xr3:uid="{50B2D2B4-919F-4FDD-8DEF-D8EB76F0297A}" name="Projekt1 Namn"/>
    <tableColumn id="37" xr3:uid="{F3AEC7F4-91E8-49BD-B414-4DA0C6A5E5F0}" name="Dataset namn"/>
    <tableColumn id="38" xr3:uid="{A354E41C-1531-4AEC-9219-8734EE00F3EC}" name="Diffuserad"/>
    <tableColumn id="39" xr3:uid="{D624087E-E9FC-4DA1-86F2-E81B5F4C40A4}" name="Skydd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04B8F2C-7777-4219-A1F2-834884BAF108}" name="Tabell3" displayName="Tabell3" ref="A1:I175" totalsRowShown="0">
  <autoFilter ref="A1:I175" xr:uid="{C04B8F2C-7777-4219-A1F2-834884BAF108}"/>
  <tableColumns count="9">
    <tableColumn id="1" xr3:uid="{B0C605ED-9966-42C5-9648-0969C5233B4E}" name="Taxon id"/>
    <tableColumn id="2" xr3:uid="{09FCC7AA-59BF-4681-863B-2536A40DBB1A}" name="Global sorteringsordning"/>
    <tableColumn id="3" xr3:uid="{9DBB9962-3E7E-414E-BC39-BFF0F3F783D2}" name="Vetenskapligt namn"/>
    <tableColumn id="4" xr3:uid="{7CFAC7B4-5E45-44D5-8AC6-9904C87CFDA2}" name="Svenskt namn"/>
    <tableColumn id="5" xr3:uid="{E67DE836-A70D-4D80-818E-22F6FE0B767D}" name="Observationer"/>
    <tableColumn id="6" xr3:uid="{DBD88A7B-2311-4F36-BC85-BA95F24A9E57}" name="RedListCategory"/>
    <tableColumn id="7" xr3:uid="{99D3C1C5-F417-4D57-8879-DCED07C75863}" name="RK/FD/LLP?"/>
    <tableColumn id="8" xr3:uid="{D04C75E1-CF0E-4DEA-A8F9-6DEFCD8A40AB}" name="Indikatorvärde EDB_nr"/>
    <tableColumn id="9" xr3:uid="{4338707A-9920-4283-8F58-1BCC6163689B}" name="Indikatorvärde EDB"/>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FA01EB-CC7A-4DCF-8A54-6EAB86CF77EE}" name="Tabell4" displayName="Tabell4" ref="A1:B69" totalsRowShown="0">
  <autoFilter ref="A1:B69" xr:uid="{54FA01EB-CC7A-4DCF-8A54-6EAB86CF77EE}"/>
  <tableColumns count="2">
    <tableColumn id="1" xr3:uid="{88B908E2-4D85-4C62-974F-06594ED5C528}" name="Sort_order"/>
    <tableColumn id="2" xr3:uid="{29228C49-6C82-427C-A602-E9D668ECDB07}" name="Aktivitet"/>
  </tableColumns>
  <tableStyleInfo name="TableStyleMedium2" showFirstColumn="0" showLastColumn="0" showRowStripes="1" showColumnStripes="0"/>
</table>
</file>

<file path=xl/theme/theme1.xml><?xml version="1.0" encoding="utf-8"?>
<a:theme xmlns:a="http://schemas.openxmlformats.org/drawingml/2006/main" name="Office-t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4DE9-838D-4AFB-A0F9-BFC9AAC40268}">
  <sheetPr codeName="Blad1"/>
  <dimension ref="A1"/>
  <sheetViews>
    <sheetView tabSelected="1" workbookViewId="0">
      <selection activeCell="H22" sqref="H22"/>
    </sheetView>
  </sheetViews>
  <sheetFormatPr defaultRowHeight="14.4"/>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ImporteraFynddata">
                <anchor moveWithCells="1" sizeWithCells="1">
                  <from>
                    <xdr:col>1</xdr:col>
                    <xdr:colOff>480060</xdr:colOff>
                    <xdr:row>18</xdr:row>
                    <xdr:rowOff>83820</xdr:rowOff>
                  </from>
                  <to>
                    <xdr:col>5</xdr:col>
                    <xdr:colOff>137160</xdr:colOff>
                    <xdr:row>21</xdr:row>
                    <xdr:rowOff>175260</xdr:rowOff>
                  </to>
                </anchor>
              </controlPr>
            </control>
          </mc:Choice>
        </mc:AlternateContent>
        <mc:AlternateContent xmlns:mc="http://schemas.openxmlformats.org/markup-compatibility/2006">
          <mc:Choice Requires="x14">
            <control shapeId="7171" r:id="rId4" name="Button 3">
              <controlPr defaultSize="0" print="0" autoFill="0" autoPict="0" macro="[0]!RensaFynddata">
                <anchor moveWithCells="1" sizeWithCells="1">
                  <from>
                    <xdr:col>1</xdr:col>
                    <xdr:colOff>510540</xdr:colOff>
                    <xdr:row>22</xdr:row>
                    <xdr:rowOff>68580</xdr:rowOff>
                  </from>
                  <to>
                    <xdr:col>5</xdr:col>
                    <xdr:colOff>76200</xdr:colOff>
                    <xdr:row>25</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0145E-41B8-4E0B-BAC8-75FC1AE40B9B}">
  <sheetPr codeName="Blad3"/>
  <dimension ref="A1:E57"/>
  <sheetViews>
    <sheetView workbookViewId="0">
      <selection activeCell="C3" sqref="C3"/>
    </sheetView>
  </sheetViews>
  <sheetFormatPr defaultRowHeight="14.4"/>
  <cols>
    <col min="1" max="1" width="19.109375" customWidth="1"/>
    <col min="2" max="2" width="11.77734375" customWidth="1"/>
    <col min="3" max="3" width="67.77734375" customWidth="1"/>
    <col min="4" max="4" width="16.109375" customWidth="1"/>
    <col min="5" max="5" width="19.5546875" customWidth="1"/>
  </cols>
  <sheetData>
    <row r="1" spans="1:5">
      <c r="A1" s="3" t="s">
        <v>484</v>
      </c>
      <c r="B1" s="3" t="s">
        <v>482</v>
      </c>
      <c r="C1" s="3" t="s">
        <v>483</v>
      </c>
      <c r="D1" s="3" t="s">
        <v>485</v>
      </c>
      <c r="E1" s="3" t="s">
        <v>63</v>
      </c>
    </row>
    <row r="2" spans="1:5">
      <c r="A2" t="str" cm="1">
        <f t="array" ref="A2:A57">_xlfn.LET(
    _xlpm.arter, _xlfn.UNIQUE(_xlfn._xlws.FILTER(Tabell1[Svenskt namn], Tabell1[Svenskt namn]&lt;&gt;"")),
    _xlpm.ordning, _xlfn.XLOOKUP(_xlpm.arter, Tabell3[Svenskt namn], Tabell3[Global sorteringsordning], 999),
    _xlfn.SORTBY(_xlpm.arter, _xlpm.ordning, 1)
)</f>
        <v>knölsvan</v>
      </c>
      <c r="B2" t="str" cm="1">
        <f t="array" ref="B2:B57">_xlfn.XLOOKUP(_xlfn.ANCHORARRAY(A2), Tabell3[Svenskt namn],Tabell3[RK/FD/LLP?], 999,0)</f>
        <v>LC/LLP</v>
      </c>
      <c r="C2" t="str" cm="1">
        <f t="array" ref="C2:C57">_xlfn.MAP(_xlfn.ANCHORARRAY(A2), _xlfn.LAMBDA(_xlpm.art,
    IFERROR(
        _xlfn.LET(
            _xlpm.alla, _xlfn._xlws.FILTER(Tabell1[Aktivitet (Artportalen)], (Tabell1[Svenskt namn]=_xlpm.art)*(Tabell1[Aktivitet (Artportalen)]&lt;&gt;"")),
            _xlpm.unika, _xlfn.UNIQUE(_xlpm.alla),
            _xlpm.ordning, _xlfn.XLOOKUP(_xlpm.unika, Tabell4[Aktivitet], Tabell4[Sort_order], 999),
            _xlpm.sorterade, _xlfn.SORTBY(_xlpm.unika, _xlpm.ordning, 1),
            _xlfn.TEXTJOIN(", ", TRUE, _xlfn.TAKE(_xlpm.sorterade, MIN(3, ROWS(_xlpm.sorterade))))
        ),
        ""
    )
))</f>
        <v>pulli/nyligen flygga ungar</v>
      </c>
      <c r="D2" cm="1">
        <f t="array" ref="D2:D57">_xlfn.BYROW(_xlfn.ANCHORARRAY(A2), _xlfn.LAMBDA(_xlpm.art,
    COUNTIF(Tabell1[Svenskt namn], _xlpm.art)
))</f>
        <v>1</v>
      </c>
      <c r="E2" t="str" cm="1">
        <f t="array" ref="E2:E57">_xlfn.BYROW(_xlfn.ANCHORARRAY(A2), _xlfn.LAMBDA(_xlpm.art,
    IFERROR(
        _xlfn.LET(
            _xlpm.år, _xlfn._xlws.SORT(_xlfn.UNIQUE(YEAR(_xlfn._xlws.FILTER(Tabell1[Startdatum], Tabell1[Svenskt namn]=_xlpm.art)))),
            _xlpm.start, _xlfn._xlws.FILTER(_xlpm.år, ISERROR(MATCH(_xlpm.år-1, _xlpm.år, 0))),
            _xlpm.slut, _xlfn._xlws.FILTER(_xlpm.år, ISERROR(MATCH(_xlpm.år+1, _xlpm.år, 0))),
            _xlfn.TEXTJOIN(", ", TRUE, IF(_xlpm.start=_xlpm.slut, _xlpm.start, _xlpm.start &amp; "-" &amp; _xlpm.slut))
        ),
        ""
    )
))</f>
        <v>2006</v>
      </c>
    </row>
    <row r="3" spans="1:5">
      <c r="A3" t="str">
        <v>sångsvan</v>
      </c>
      <c r="B3" t="str">
        <v>LC/FD</v>
      </c>
      <c r="C3" t="str">
        <v>par i lämplig häckbiotop, obs i häcktid, lämplig biotop</v>
      </c>
      <c r="D3">
        <v>3</v>
      </c>
      <c r="E3" t="str">
        <v>2020</v>
      </c>
    </row>
    <row r="4" spans="1:5">
      <c r="A4" t="str">
        <v>gravand</v>
      </c>
      <c r="B4" t="str">
        <v>NT</v>
      </c>
      <c r="C4" t="str">
        <v>par i lämplig häckbiotop, obs i häcktid, lämplig biotop</v>
      </c>
      <c r="D4">
        <v>8</v>
      </c>
      <c r="E4" t="str">
        <v>2019-2020, 2022-2025</v>
      </c>
    </row>
    <row r="5" spans="1:5">
      <c r="A5" t="str">
        <v>storskrake</v>
      </c>
      <c r="B5" t="str">
        <v>LC/LLP</v>
      </c>
      <c r="C5" t="str">
        <v>obs i häcktid, lämplig biotop</v>
      </c>
      <c r="D5">
        <v>1</v>
      </c>
      <c r="E5" t="str">
        <v>2022</v>
      </c>
    </row>
    <row r="6" spans="1:5">
      <c r="A6" t="str">
        <v>vigg</v>
      </c>
      <c r="B6" t="str">
        <v>LC/LLP</v>
      </c>
      <c r="C6" t="str">
        <v>obs i häcktid, lämplig biotop</v>
      </c>
      <c r="D6">
        <v>2</v>
      </c>
      <c r="E6" t="str">
        <v>2020-2021</v>
      </c>
    </row>
    <row r="7" spans="1:5">
      <c r="A7" t="str">
        <v>snatterand</v>
      </c>
      <c r="B7" t="str">
        <v>LC/LLP</v>
      </c>
      <c r="C7" t="str">
        <v>par i lämplig häckbiotop, obs i häcktid, lämplig biotop</v>
      </c>
      <c r="D7">
        <v>9</v>
      </c>
      <c r="E7" t="str">
        <v>2019-2023</v>
      </c>
    </row>
    <row r="8" spans="1:5">
      <c r="A8" t="str">
        <v>kricka</v>
      </c>
      <c r="B8" t="str">
        <v>NT</v>
      </c>
      <c r="C8" t="str">
        <v>par i lämplig häckbiotop, obs i häcktid, lämplig biotop</v>
      </c>
      <c r="D8">
        <v>7</v>
      </c>
      <c r="E8" t="str">
        <v>2007, 2019-2021, 2023</v>
      </c>
    </row>
    <row r="9" spans="1:5">
      <c r="A9" t="str">
        <v>vaktel</v>
      </c>
      <c r="B9" t="str">
        <v>LC/LLP</v>
      </c>
      <c r="C9" t="str">
        <v>spel/sång</v>
      </c>
      <c r="D9">
        <v>4</v>
      </c>
      <c r="E9" t="str">
        <v>2018-2019, 2025</v>
      </c>
    </row>
    <row r="10" spans="1:5">
      <c r="A10" t="str">
        <v>smådopping</v>
      </c>
      <c r="B10" t="str">
        <v>LC/LLP</v>
      </c>
      <c r="C10" t="str">
        <v>föda åt ungar, par i lämplig häckbiotop, spel/sång</v>
      </c>
      <c r="D10">
        <v>8</v>
      </c>
      <c r="E10" t="str">
        <v>2006, 2019, 2023-2025</v>
      </c>
    </row>
    <row r="11" spans="1:5">
      <c r="A11" t="str">
        <v>gråhakedopping</v>
      </c>
      <c r="B11" t="str">
        <v>NT</v>
      </c>
      <c r="C11" t="str">
        <v>besöker bebott bo, obs i häcktid, lämplig biotop</v>
      </c>
      <c r="D11">
        <v>2</v>
      </c>
      <c r="E11" t="str">
        <v>2006, 2013</v>
      </c>
    </row>
    <row r="12" spans="1:5">
      <c r="A12" t="str">
        <v>skäggdopping</v>
      </c>
      <c r="B12" t="str">
        <v>LC/LLP</v>
      </c>
      <c r="C12" t="str">
        <v>spel/sång</v>
      </c>
      <c r="D12">
        <v>2</v>
      </c>
      <c r="E12" t="str">
        <v>2009</v>
      </c>
    </row>
    <row r="13" spans="1:5">
      <c r="A13" t="str">
        <v>turkduva</v>
      </c>
      <c r="B13" t="str">
        <v>NT</v>
      </c>
      <c r="C13" t="str">
        <v>parning/parningsceremonier, par i lämplig häckbiotop, spel/sång</v>
      </c>
      <c r="D13">
        <v>19</v>
      </c>
      <c r="E13" t="str">
        <v>2001, 2007, 2009-2010, 2012, 2017, 2019, 2021-2025</v>
      </c>
    </row>
    <row r="14" spans="1:5">
      <c r="A14" t="str">
        <v>trana</v>
      </c>
      <c r="B14" t="str">
        <v>LC/FD</v>
      </c>
      <c r="C14" t="str">
        <v>par i lämplig häckbiotop, obs i häcktid, lämplig biotop</v>
      </c>
      <c r="D14">
        <v>6</v>
      </c>
      <c r="E14" t="str">
        <v>2020, 2022-2024</v>
      </c>
    </row>
    <row r="15" spans="1:5">
      <c r="A15" t="str">
        <v>vattenrall</v>
      </c>
      <c r="B15" t="str">
        <v>LC/LLP</v>
      </c>
      <c r="C15" t="str">
        <v>spel/sång</v>
      </c>
      <c r="D15">
        <v>1</v>
      </c>
      <c r="E15" t="str">
        <v>2021</v>
      </c>
    </row>
    <row r="16" spans="1:5">
      <c r="A16" t="str">
        <v>kornknarr</v>
      </c>
      <c r="B16" t="str">
        <v>EN/FD</v>
      </c>
      <c r="C16" t="str">
        <v>permanent revir</v>
      </c>
      <c r="D16">
        <v>2</v>
      </c>
      <c r="E16" t="str">
        <v>2013-2014</v>
      </c>
    </row>
    <row r="17" spans="1:5">
      <c r="A17" t="str">
        <v>strandskata</v>
      </c>
      <c r="B17" t="str">
        <v>NT</v>
      </c>
      <c r="C17" t="str">
        <v>ruvande, par i lämplig häckbiotop, obs i häcktid, lämplig biotop</v>
      </c>
      <c r="D17">
        <v>12</v>
      </c>
      <c r="E17" t="str">
        <v>2008, 2015, 2018, 2020, 2022-2025</v>
      </c>
    </row>
    <row r="18" spans="1:5">
      <c r="A18" t="str">
        <v>större strandpipare</v>
      </c>
      <c r="B18" t="str">
        <v>LC/LLP</v>
      </c>
      <c r="C18" t="str">
        <v>obs i häcktid, lämplig biotop</v>
      </c>
      <c r="D18">
        <v>1</v>
      </c>
      <c r="E18" t="str">
        <v>2024</v>
      </c>
    </row>
    <row r="19" spans="1:5">
      <c r="A19" t="str">
        <v>mindre strandpipare</v>
      </c>
      <c r="B19" t="str">
        <v>LC/LLP</v>
      </c>
      <c r="C19" t="str">
        <v>parning/parningsceremonier, par i lämplig häckbiotop, obs i häcktid, lämplig biotop</v>
      </c>
      <c r="D19">
        <v>5</v>
      </c>
      <c r="E19" t="str">
        <v>2020-2021, 2025</v>
      </c>
    </row>
    <row r="20" spans="1:5">
      <c r="A20" t="str">
        <v>tofsvipa</v>
      </c>
      <c r="B20" t="str">
        <v>VU</v>
      </c>
      <c r="C20" t="str">
        <v>ruvande, par i lämplig häckbiotop, obs i häcktid, lämplig biotop</v>
      </c>
      <c r="D20">
        <v>13</v>
      </c>
      <c r="E20" t="str">
        <v>2008, 2012, 2015, 2020, 2022-2025</v>
      </c>
    </row>
    <row r="21" spans="1:5">
      <c r="A21" t="str">
        <v>storspov</v>
      </c>
      <c r="B21" t="str">
        <v>EN</v>
      </c>
      <c r="C21" t="str">
        <v>spel/sång, obs i häcktid, lämplig biotop</v>
      </c>
      <c r="D21">
        <v>3</v>
      </c>
      <c r="E21" t="str">
        <v>2015, 2024</v>
      </c>
    </row>
    <row r="22" spans="1:5">
      <c r="A22" t="str">
        <v>enkelbeckasin</v>
      </c>
      <c r="B22" t="str">
        <v>NT</v>
      </c>
      <c r="C22" t="str">
        <v>spel/sång, obs i häcktid, lämplig biotop</v>
      </c>
      <c r="D22">
        <v>5</v>
      </c>
      <c r="E22" t="str">
        <v>2009, 2021-2022, 2025</v>
      </c>
    </row>
    <row r="23" spans="1:5">
      <c r="A23" t="str">
        <v>rödbena</v>
      </c>
      <c r="B23" t="str">
        <v>LC/LLP</v>
      </c>
      <c r="C23" t="str">
        <v>par i lämplig häckbiotop, spel/sång, obs i häcktid, lämplig biotop</v>
      </c>
      <c r="D23">
        <v>4</v>
      </c>
      <c r="E23" t="str">
        <v>2019-2020, 2022, 2025</v>
      </c>
    </row>
    <row r="24" spans="1:5">
      <c r="A24" t="str">
        <v>skrattmås</v>
      </c>
      <c r="B24" t="str">
        <v>NT</v>
      </c>
      <c r="C24" t="str">
        <v>ruvande</v>
      </c>
      <c r="D24">
        <v>2</v>
      </c>
      <c r="E24" t="str">
        <v>2023-2024</v>
      </c>
    </row>
    <row r="25" spans="1:5">
      <c r="A25" t="str">
        <v>gråhäger</v>
      </c>
      <c r="B25" t="str">
        <v>LC/LLP</v>
      </c>
      <c r="C25" t="str">
        <v>obs i häcktid, lämplig biotop</v>
      </c>
      <c r="D25">
        <v>1</v>
      </c>
      <c r="E25" t="str">
        <v>2020</v>
      </c>
    </row>
    <row r="26" spans="1:5">
      <c r="A26" t="str">
        <v>tornseglare</v>
      </c>
      <c r="B26" t="str">
        <v>VU</v>
      </c>
      <c r="C26" t="str">
        <v>permanent revir, obs i häcktid, lämplig biotop</v>
      </c>
      <c r="D26">
        <v>3</v>
      </c>
      <c r="E26" t="str">
        <v>2020, 2024</v>
      </c>
    </row>
    <row r="27" spans="1:5">
      <c r="A27" t="str">
        <v>hornuggla</v>
      </c>
      <c r="B27" t="str">
        <v>EN</v>
      </c>
      <c r="C27" t="str">
        <v>pulli/nyligen flygga ungar, spel/sång</v>
      </c>
      <c r="D27">
        <v>4</v>
      </c>
      <c r="E27" t="str">
        <v>2022, 2025</v>
      </c>
    </row>
    <row r="28" spans="1:5">
      <c r="A28" t="str">
        <v>brun kärrhök</v>
      </c>
      <c r="B28" t="str">
        <v>LC/FD</v>
      </c>
      <c r="C28" t="str">
        <v>obs i häcktid, lämplig biotop</v>
      </c>
      <c r="D28">
        <v>1</v>
      </c>
      <c r="E28" t="str">
        <v>2023</v>
      </c>
    </row>
    <row r="29" spans="1:5">
      <c r="A29" t="str">
        <v>göktyta</v>
      </c>
      <c r="B29" t="str">
        <v>NT</v>
      </c>
      <c r="C29" t="str">
        <v>spel/sång</v>
      </c>
      <c r="D29">
        <v>6</v>
      </c>
      <c r="E29" t="str">
        <v>2014, 2020, 2022-2023</v>
      </c>
    </row>
    <row r="30" spans="1:5">
      <c r="A30" t="str">
        <v>gröngöling</v>
      </c>
      <c r="B30" t="str">
        <v>LC/LLP</v>
      </c>
      <c r="C30" t="str">
        <v>spel/sång, upprörd, varnande, obs i häcktid, lämplig biotop</v>
      </c>
      <c r="D30">
        <v>40</v>
      </c>
      <c r="E30" t="str">
        <v>2007, 2013-2020, 2022-2025</v>
      </c>
    </row>
    <row r="31" spans="1:5">
      <c r="A31" t="str">
        <v>spillkråka</v>
      </c>
      <c r="B31" t="str">
        <v>LC/FD</v>
      </c>
      <c r="C31" t="str">
        <v>bobygge, par i lämplig häckbiotop, spel/sång</v>
      </c>
      <c r="D31">
        <v>48</v>
      </c>
      <c r="E31" t="str">
        <v>2008-2025</v>
      </c>
    </row>
    <row r="32" spans="1:5">
      <c r="A32" t="str">
        <v>mindre hackspett</v>
      </c>
      <c r="B32" t="str">
        <v>NT</v>
      </c>
      <c r="C32" t="str">
        <v>spel/sång, upprörd, varnande</v>
      </c>
      <c r="D32">
        <v>13</v>
      </c>
      <c r="E32" t="str">
        <v>2003, 2007-2008, 2010, 2012, 2014, 2019-2021, 2023, 2025</v>
      </c>
    </row>
    <row r="33" spans="1:5">
      <c r="A33" t="str">
        <v>tornfalk</v>
      </c>
      <c r="B33" t="str">
        <v>LC/LLP</v>
      </c>
      <c r="C33" t="str">
        <v>bobygge, obs i häcktid, lämplig biotop, upprörd, varnande</v>
      </c>
      <c r="D33">
        <v>5</v>
      </c>
      <c r="E33" t="str">
        <v>2014, 2019, 2022, 2024</v>
      </c>
    </row>
    <row r="34" spans="1:5">
      <c r="A34" t="str">
        <v>sommargylling</v>
      </c>
      <c r="B34" t="str">
        <v>EN</v>
      </c>
      <c r="C34" t="str">
        <v>spel/sång</v>
      </c>
      <c r="D34">
        <v>1</v>
      </c>
      <c r="E34" t="str">
        <v>2009</v>
      </c>
    </row>
    <row r="35" spans="1:5">
      <c r="A35" t="str">
        <v>törnskata</v>
      </c>
      <c r="B35" t="str">
        <v>LC/FD</v>
      </c>
      <c r="C35" t="str">
        <v>föda åt ungar, pulli/nyligen flygga ungar, bobygge</v>
      </c>
      <c r="D35">
        <v>24</v>
      </c>
      <c r="E35" t="str">
        <v>2004-2010, 2012-2016, 2021-2025</v>
      </c>
    </row>
    <row r="36" spans="1:5">
      <c r="A36" t="str">
        <v>korp</v>
      </c>
      <c r="B36" t="str">
        <v>LC/LLP</v>
      </c>
      <c r="C36" t="str">
        <v>besöker bebott bo, pulli/nyligen flygga ungar, nyligen använt bo</v>
      </c>
      <c r="D36">
        <v>17</v>
      </c>
      <c r="E36" t="str">
        <v>2008-2012, 2014-2015, 2017, 2019-2020, 2022-2024</v>
      </c>
    </row>
    <row r="37" spans="1:5">
      <c r="A37" t="str">
        <v>entita</v>
      </c>
      <c r="B37" t="str">
        <v>NT</v>
      </c>
      <c r="C37" t="str">
        <v>föda åt ungar, bobygge, parning/parningsceremonier</v>
      </c>
      <c r="D37">
        <v>34</v>
      </c>
      <c r="E37" t="str">
        <v>2002, 2007, 2009-2010, 2012-2013, 2015, 2018-2020, 2022-2026</v>
      </c>
    </row>
    <row r="38" spans="1:5">
      <c r="A38" t="str">
        <v>trädlärka</v>
      </c>
      <c r="B38" t="str">
        <v>LC/FD</v>
      </c>
      <c r="C38" t="str">
        <v>spel/sång</v>
      </c>
      <c r="D38">
        <v>5</v>
      </c>
      <c r="E38" t="str">
        <v>2007, 2009, 2023</v>
      </c>
    </row>
    <row r="39" spans="1:5">
      <c r="A39" t="str">
        <v>rörsångare</v>
      </c>
      <c r="B39" t="str">
        <v>NT</v>
      </c>
      <c r="C39" t="str">
        <v>permanent revir, spel/sång</v>
      </c>
      <c r="D39">
        <v>5</v>
      </c>
      <c r="E39" t="str">
        <v>2012, 2016-2017</v>
      </c>
    </row>
    <row r="40" spans="1:5">
      <c r="A40" t="str">
        <v>flodsångare</v>
      </c>
      <c r="B40" t="str">
        <v>NT°</v>
      </c>
      <c r="C40" t="str">
        <v>spel/sång</v>
      </c>
      <c r="D40">
        <v>1</v>
      </c>
      <c r="E40" t="str">
        <v>2006</v>
      </c>
    </row>
    <row r="41" spans="1:5">
      <c r="A41" t="str">
        <v>vassångare</v>
      </c>
      <c r="B41" t="str">
        <v>EN</v>
      </c>
      <c r="C41" t="str">
        <v>spel/sång</v>
      </c>
      <c r="D41">
        <v>1</v>
      </c>
      <c r="E41" t="str">
        <v>2025</v>
      </c>
    </row>
    <row r="42" spans="1:5">
      <c r="A42" t="str">
        <v>gräshoppsångare</v>
      </c>
      <c r="B42" t="str">
        <v>VU</v>
      </c>
      <c r="C42" t="str">
        <v>permanent revir, spel/sång</v>
      </c>
      <c r="D42">
        <v>6</v>
      </c>
      <c r="E42" t="str">
        <v>2006, 2014-2015, 2021, 2024</v>
      </c>
    </row>
    <row r="43" spans="1:5">
      <c r="A43" t="str">
        <v>backsvala</v>
      </c>
      <c r="B43" t="str">
        <v>EN</v>
      </c>
      <c r="C43" t="str">
        <v>föda åt ungar, besöker bebott bo, bobygge</v>
      </c>
      <c r="D43">
        <v>15</v>
      </c>
      <c r="E43" t="str">
        <v>2022-2025</v>
      </c>
    </row>
    <row r="44" spans="1:5">
      <c r="A44" t="str">
        <v>ladusvala</v>
      </c>
      <c r="B44" t="str">
        <v>NT</v>
      </c>
      <c r="C44" t="str">
        <v>ruvande, föda åt ungar, besöker bebott bo</v>
      </c>
      <c r="D44">
        <v>8</v>
      </c>
      <c r="E44" t="str">
        <v>2014-2015, 2020, 2023</v>
      </c>
    </row>
    <row r="45" spans="1:5">
      <c r="A45" t="str">
        <v>hussvala</v>
      </c>
      <c r="B45" t="str">
        <v>VU</v>
      </c>
      <c r="C45" t="str">
        <v>permanent revir, obs i häcktid, lämplig biotop</v>
      </c>
      <c r="D45">
        <v>2</v>
      </c>
      <c r="E45" t="str">
        <v>2009, 2023</v>
      </c>
    </row>
    <row r="46" spans="1:5">
      <c r="A46" t="str">
        <v>grönsångare</v>
      </c>
      <c r="B46" t="str">
        <v>NT</v>
      </c>
      <c r="C46" t="str">
        <v>spel/sång</v>
      </c>
      <c r="D46">
        <v>15</v>
      </c>
      <c r="E46" t="str">
        <v>2011-2012, 2015-2016, 2018-2021, 2023-2024</v>
      </c>
    </row>
    <row r="47" spans="1:5">
      <c r="A47" t="str">
        <v>stare</v>
      </c>
      <c r="B47" t="str">
        <v>VU</v>
      </c>
      <c r="C47" t="str">
        <v>ruvande, föda åt ungar, besöker bebott bo</v>
      </c>
      <c r="D47">
        <v>31</v>
      </c>
      <c r="E47" t="str">
        <v>2002, 2006-2007, 2010-2012, 2014-2017, 2019-2020, 2022-2023, 2025</v>
      </c>
    </row>
    <row r="48" spans="1:5">
      <c r="A48" t="str">
        <v>rödvingetrast</v>
      </c>
      <c r="B48" t="str">
        <v>NT</v>
      </c>
      <c r="C48" t="str">
        <v>spel/sång, obs i häcktid, lämplig biotop</v>
      </c>
      <c r="D48">
        <v>4</v>
      </c>
      <c r="E48" t="str">
        <v>2014, 2019-2021</v>
      </c>
    </row>
    <row r="49" spans="1:5">
      <c r="A49" t="str">
        <v>björktrast</v>
      </c>
      <c r="B49" t="str">
        <v>NT</v>
      </c>
      <c r="C49" t="str">
        <v>spel/sång</v>
      </c>
      <c r="D49">
        <v>2</v>
      </c>
      <c r="E49" t="str">
        <v>2012, 2024</v>
      </c>
    </row>
    <row r="50" spans="1:5">
      <c r="A50" t="str">
        <v>halsbandsflugsnappare</v>
      </c>
      <c r="B50" t="str">
        <v>LC/FD</v>
      </c>
      <c r="C50" t="str">
        <v>spel/sång</v>
      </c>
      <c r="D50">
        <v>1</v>
      </c>
      <c r="E50" t="str">
        <v>2004</v>
      </c>
    </row>
    <row r="51" spans="1:5">
      <c r="A51" t="str">
        <v>svart rödstjärt</v>
      </c>
      <c r="B51" t="str">
        <v>VU</v>
      </c>
      <c r="C51" t="str">
        <v>föda åt ungar, besöker bebott bo, permanent revir</v>
      </c>
      <c r="D51">
        <v>30</v>
      </c>
      <c r="E51" t="str">
        <v>2007-2008, 2010, 2012, 2014, 2016-2025</v>
      </c>
    </row>
    <row r="52" spans="1:5">
      <c r="A52" t="str">
        <v>järnsparv</v>
      </c>
      <c r="B52" t="str">
        <v>NT°</v>
      </c>
      <c r="C52" t="str">
        <v>spel/sång</v>
      </c>
      <c r="D52">
        <v>51</v>
      </c>
      <c r="E52" t="str">
        <v>2002, 2005-2008, 2010-2013, 2015-2016, 2018-2020, 2022-2025</v>
      </c>
    </row>
    <row r="53" spans="1:5">
      <c r="A53" t="str">
        <v>sädesärla</v>
      </c>
      <c r="B53" t="str">
        <v>NT</v>
      </c>
      <c r="C53" t="str">
        <v>ruvande, föda åt ungar, pulli/nyligen flygga ungar</v>
      </c>
      <c r="D53">
        <v>17</v>
      </c>
      <c r="E53" t="str">
        <v>2007, 2012-2014, 2019-2024</v>
      </c>
    </row>
    <row r="54" spans="1:5">
      <c r="A54" t="str">
        <v>rosenfink</v>
      </c>
      <c r="B54" t="str">
        <v>NT</v>
      </c>
      <c r="C54" t="str">
        <v>spel/sång</v>
      </c>
      <c r="D54">
        <v>1</v>
      </c>
      <c r="E54" t="str">
        <v>2001</v>
      </c>
    </row>
    <row r="55" spans="1:5">
      <c r="A55" t="str">
        <v>grönfink</v>
      </c>
      <c r="B55" t="str">
        <v>VU</v>
      </c>
      <c r="C55" t="str">
        <v>spel/sång, obs i häcktid, lämplig biotop</v>
      </c>
      <c r="D55">
        <v>32</v>
      </c>
      <c r="E55" t="str">
        <v>2010, 2012-2013, 2017-2018, 2020-2026</v>
      </c>
    </row>
    <row r="56" spans="1:5">
      <c r="A56" t="str">
        <v>gulhämpling</v>
      </c>
      <c r="B56" t="str">
        <v>EN</v>
      </c>
      <c r="C56" t="str">
        <v>spel/sång</v>
      </c>
      <c r="D56">
        <v>4</v>
      </c>
      <c r="E56" t="str">
        <v>2007, 2014, 2025</v>
      </c>
    </row>
    <row r="57" spans="1:5">
      <c r="A57" t="str">
        <v>gulsparv</v>
      </c>
      <c r="B57" t="str">
        <v>NT</v>
      </c>
      <c r="C57" t="str">
        <v>spel/sång, obs i häcktid, lämplig biotop</v>
      </c>
      <c r="D57">
        <v>102</v>
      </c>
      <c r="E57" t="str">
        <v>2006-2025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2"/>
  <dimension ref="A1:AM651"/>
  <sheetViews>
    <sheetView topLeftCell="A246" workbookViewId="0">
      <selection activeCell="C4" sqref="C4"/>
    </sheetView>
  </sheetViews>
  <sheetFormatPr defaultRowHeight="14.4"/>
  <cols>
    <col min="1" max="1" width="18.77734375" customWidth="1"/>
    <col min="2" max="2" width="10.5546875" customWidth="1"/>
    <col min="3" max="3" width="10.21875" customWidth="1"/>
    <col min="4" max="4" width="20" customWidth="1"/>
    <col min="5" max="5" width="15.6640625" customWidth="1"/>
    <col min="6" max="6" width="15.88671875" customWidth="1"/>
    <col min="7" max="7" width="16.21875" customWidth="1"/>
    <col min="8" max="8" width="16.6640625" customWidth="1"/>
    <col min="9" max="9" width="26.5546875" customWidth="1"/>
    <col min="10" max="10" width="12.21875" customWidth="1"/>
    <col min="11" max="11" width="11.6640625" customWidth="1"/>
    <col min="12" max="13" width="10" customWidth="1"/>
    <col min="14" max="14" width="21" customWidth="1"/>
    <col min="15" max="15" width="21.6640625" customWidth="1"/>
    <col min="16" max="16" width="22.21875" customWidth="1"/>
    <col min="17" max="17" width="23.77734375" customWidth="1"/>
    <col min="18" max="18" width="18.21875" customWidth="1"/>
    <col min="19" max="19" width="26.77734375" customWidth="1"/>
    <col min="20" max="20" width="10" customWidth="1"/>
    <col min="21" max="21" width="12.109375" customWidth="1"/>
    <col min="22" max="22" width="10.33203125" customWidth="1"/>
    <col min="23" max="23" width="10" customWidth="1"/>
    <col min="24" max="24" width="10.88671875" customWidth="1"/>
    <col min="25" max="25" width="12.21875" customWidth="1"/>
    <col min="26" max="26" width="15.77734375" customWidth="1"/>
    <col min="27" max="27" width="18.6640625" customWidth="1"/>
    <col min="28" max="28" width="24.77734375" customWidth="1"/>
    <col min="29" max="29" width="15.44140625" customWidth="1"/>
    <col min="30" max="30" width="10" customWidth="1"/>
    <col min="31" max="31" width="21.88671875" customWidth="1"/>
    <col min="32" max="32" width="17.6640625" customWidth="1"/>
    <col min="33" max="33" width="22.21875" customWidth="1"/>
    <col min="34" max="34" width="15" customWidth="1"/>
    <col min="35" max="35" width="15.109375" customWidth="1"/>
    <col min="36" max="36" width="16.77734375" customWidth="1"/>
    <col min="37" max="37" width="15.33203125" customWidth="1"/>
    <col min="38" max="38" width="11.6640625" customWidth="1"/>
    <col min="39" max="39" width="10.109375" customWidth="1"/>
  </cols>
  <sheetData>
    <row r="1" spans="1:39">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row>
    <row r="2" spans="1:39">
      <c r="A2" t="s">
        <v>487</v>
      </c>
      <c r="B2" t="b">
        <v>1</v>
      </c>
      <c r="C2">
        <v>103037</v>
      </c>
      <c r="D2" t="s">
        <v>368</v>
      </c>
      <c r="E2" t="s">
        <v>369</v>
      </c>
      <c r="F2" t="s">
        <v>488</v>
      </c>
      <c r="G2" t="s">
        <v>489</v>
      </c>
      <c r="H2" t="s">
        <v>85</v>
      </c>
      <c r="I2">
        <v>1</v>
      </c>
      <c r="J2" s="4">
        <v>38850</v>
      </c>
      <c r="K2" s="4">
        <v>38850</v>
      </c>
      <c r="L2" s="5">
        <v>0</v>
      </c>
      <c r="M2" s="5">
        <v>0</v>
      </c>
      <c r="N2">
        <v>55.555309999999999</v>
      </c>
      <c r="O2">
        <v>13.8569</v>
      </c>
      <c r="P2">
        <v>427893</v>
      </c>
      <c r="Q2">
        <v>6157182</v>
      </c>
      <c r="R2" t="s">
        <v>490</v>
      </c>
      <c r="S2">
        <v>140</v>
      </c>
      <c r="T2" t="s">
        <v>491</v>
      </c>
      <c r="U2" t="s">
        <v>492</v>
      </c>
      <c r="V2" t="s">
        <v>493</v>
      </c>
      <c r="W2" t="s">
        <v>494</v>
      </c>
      <c r="X2" t="s">
        <v>494</v>
      </c>
      <c r="Y2" t="s">
        <v>495</v>
      </c>
      <c r="Z2">
        <v>2</v>
      </c>
      <c r="AA2">
        <v>2</v>
      </c>
      <c r="AE2" t="s">
        <v>62</v>
      </c>
      <c r="AF2" t="s">
        <v>496</v>
      </c>
      <c r="AG2" t="b">
        <v>0</v>
      </c>
      <c r="AH2" t="b">
        <v>0</v>
      </c>
      <c r="AI2" t="b">
        <v>0</v>
      </c>
      <c r="AK2" t="s">
        <v>497</v>
      </c>
      <c r="AL2" t="b">
        <v>0</v>
      </c>
      <c r="AM2" t="b">
        <v>0</v>
      </c>
    </row>
    <row r="3" spans="1:39">
      <c r="A3" t="s">
        <v>498</v>
      </c>
      <c r="B3" t="b">
        <v>1</v>
      </c>
      <c r="C3">
        <v>103020</v>
      </c>
      <c r="D3" t="s">
        <v>328</v>
      </c>
      <c r="E3" t="s">
        <v>329</v>
      </c>
      <c r="F3" t="s">
        <v>488</v>
      </c>
      <c r="G3" t="s">
        <v>489</v>
      </c>
      <c r="H3" t="s">
        <v>41</v>
      </c>
      <c r="I3">
        <v>1</v>
      </c>
      <c r="J3" s="4">
        <v>40969</v>
      </c>
      <c r="K3" s="4">
        <v>40969</v>
      </c>
      <c r="L3" s="5">
        <v>0.28749999999999998</v>
      </c>
      <c r="M3" s="5">
        <v>0.30555555555555558</v>
      </c>
      <c r="N3">
        <v>55.530740000000002</v>
      </c>
      <c r="O3">
        <v>13.879630000000001</v>
      </c>
      <c r="P3">
        <v>429282</v>
      </c>
      <c r="Q3">
        <v>6154424</v>
      </c>
      <c r="R3" t="s">
        <v>490</v>
      </c>
      <c r="S3">
        <v>310</v>
      </c>
      <c r="T3" t="s">
        <v>499</v>
      </c>
      <c r="U3" t="s">
        <v>492</v>
      </c>
      <c r="V3" t="s">
        <v>493</v>
      </c>
      <c r="W3" t="s">
        <v>494</v>
      </c>
      <c r="X3" t="s">
        <v>494</v>
      </c>
      <c r="Y3" t="s">
        <v>500</v>
      </c>
      <c r="Z3">
        <v>1</v>
      </c>
      <c r="AA3">
        <v>1</v>
      </c>
      <c r="AE3" t="s">
        <v>42</v>
      </c>
      <c r="AF3" t="s">
        <v>496</v>
      </c>
      <c r="AG3" t="b">
        <v>0</v>
      </c>
      <c r="AH3" t="b">
        <v>0</v>
      </c>
      <c r="AI3" t="b">
        <v>0</v>
      </c>
      <c r="AK3" t="s">
        <v>497</v>
      </c>
      <c r="AL3" t="b">
        <v>0</v>
      </c>
      <c r="AM3" t="b">
        <v>0</v>
      </c>
    </row>
    <row r="4" spans="1:39">
      <c r="A4" t="s">
        <v>501</v>
      </c>
      <c r="B4" t="b">
        <v>1</v>
      </c>
      <c r="C4">
        <v>102990</v>
      </c>
      <c r="D4" t="s">
        <v>39</v>
      </c>
      <c r="E4" t="s">
        <v>40</v>
      </c>
      <c r="F4" t="s">
        <v>488</v>
      </c>
      <c r="G4" t="s">
        <v>489</v>
      </c>
      <c r="H4" t="s">
        <v>41</v>
      </c>
      <c r="I4">
        <v>1</v>
      </c>
      <c r="J4" s="4">
        <v>40677</v>
      </c>
      <c r="K4" s="4">
        <v>40677</v>
      </c>
      <c r="L4" s="5">
        <v>0.3125</v>
      </c>
      <c r="M4" s="5">
        <v>0.41666666666666669</v>
      </c>
      <c r="N4">
        <v>55.510599999999997</v>
      </c>
      <c r="O4">
        <v>13.90753</v>
      </c>
      <c r="P4">
        <v>431008</v>
      </c>
      <c r="Q4">
        <v>6152155</v>
      </c>
      <c r="R4" t="s">
        <v>490</v>
      </c>
      <c r="S4">
        <v>400</v>
      </c>
      <c r="T4" t="s">
        <v>502</v>
      </c>
      <c r="U4" t="s">
        <v>503</v>
      </c>
      <c r="V4" t="s">
        <v>504</v>
      </c>
      <c r="W4" t="s">
        <v>494</v>
      </c>
      <c r="X4" t="s">
        <v>494</v>
      </c>
      <c r="Y4" t="s">
        <v>505</v>
      </c>
      <c r="Z4">
        <v>4</v>
      </c>
      <c r="AA4">
        <v>4</v>
      </c>
      <c r="AE4" t="s">
        <v>42</v>
      </c>
      <c r="AF4" t="s">
        <v>496</v>
      </c>
      <c r="AG4" t="b">
        <v>0</v>
      </c>
      <c r="AH4" t="b">
        <v>0</v>
      </c>
      <c r="AI4" t="b">
        <v>0</v>
      </c>
      <c r="AK4" t="s">
        <v>497</v>
      </c>
      <c r="AL4" t="b">
        <v>0</v>
      </c>
      <c r="AM4" t="b">
        <v>0</v>
      </c>
    </row>
    <row r="5" spans="1:39">
      <c r="A5" t="s">
        <v>506</v>
      </c>
      <c r="B5" t="b">
        <v>1</v>
      </c>
      <c r="C5">
        <v>102972</v>
      </c>
      <c r="D5" t="s">
        <v>55</v>
      </c>
      <c r="E5" t="s">
        <v>56</v>
      </c>
      <c r="F5" t="s">
        <v>488</v>
      </c>
      <c r="G5" t="s">
        <v>489</v>
      </c>
      <c r="H5" t="s">
        <v>41</v>
      </c>
      <c r="I5">
        <v>1</v>
      </c>
      <c r="J5" s="4">
        <v>40362</v>
      </c>
      <c r="K5" s="4">
        <v>40362</v>
      </c>
      <c r="L5" s="5">
        <v>0.29166666666666669</v>
      </c>
      <c r="M5" s="5">
        <v>0.3611111111111111</v>
      </c>
      <c r="N5">
        <v>55.54081</v>
      </c>
      <c r="O5">
        <v>13.95609</v>
      </c>
      <c r="P5">
        <v>434125</v>
      </c>
      <c r="Q5">
        <v>6155470</v>
      </c>
      <c r="R5" t="s">
        <v>490</v>
      </c>
      <c r="S5">
        <v>1500</v>
      </c>
      <c r="T5" t="s">
        <v>507</v>
      </c>
      <c r="U5" t="s">
        <v>508</v>
      </c>
      <c r="V5" t="s">
        <v>504</v>
      </c>
      <c r="W5" t="s">
        <v>494</v>
      </c>
      <c r="X5" t="s">
        <v>494</v>
      </c>
      <c r="Y5" t="s">
        <v>509</v>
      </c>
      <c r="Z5">
        <v>2</v>
      </c>
      <c r="AA5">
        <v>2</v>
      </c>
      <c r="AD5" t="s">
        <v>510</v>
      </c>
      <c r="AE5" t="s">
        <v>42</v>
      </c>
      <c r="AF5" t="s">
        <v>496</v>
      </c>
      <c r="AG5" t="b">
        <v>0</v>
      </c>
      <c r="AH5" t="b">
        <v>0</v>
      </c>
      <c r="AI5" t="b">
        <v>0</v>
      </c>
      <c r="AK5" t="s">
        <v>497</v>
      </c>
      <c r="AL5" t="b">
        <v>0</v>
      </c>
      <c r="AM5" t="b">
        <v>0</v>
      </c>
    </row>
    <row r="6" spans="1:39">
      <c r="A6" t="s">
        <v>511</v>
      </c>
      <c r="B6" t="b">
        <v>1</v>
      </c>
      <c r="C6">
        <v>102626</v>
      </c>
      <c r="D6" t="s">
        <v>318</v>
      </c>
      <c r="E6" t="s">
        <v>319</v>
      </c>
      <c r="F6" t="s">
        <v>488</v>
      </c>
      <c r="G6" t="s">
        <v>489</v>
      </c>
      <c r="H6" t="s">
        <v>46</v>
      </c>
      <c r="I6">
        <v>1</v>
      </c>
      <c r="J6" s="4">
        <v>40321</v>
      </c>
      <c r="K6" s="4">
        <v>40321</v>
      </c>
      <c r="L6" s="5">
        <v>0</v>
      </c>
      <c r="M6" s="5">
        <v>0</v>
      </c>
      <c r="N6">
        <v>55.555309999999999</v>
      </c>
      <c r="O6">
        <v>13.8569</v>
      </c>
      <c r="P6">
        <v>427893</v>
      </c>
      <c r="Q6">
        <v>6157182</v>
      </c>
      <c r="R6" t="s">
        <v>490</v>
      </c>
      <c r="S6">
        <v>140</v>
      </c>
      <c r="T6" t="s">
        <v>491</v>
      </c>
      <c r="U6" t="s">
        <v>492</v>
      </c>
      <c r="V6" t="s">
        <v>493</v>
      </c>
      <c r="W6" t="s">
        <v>494</v>
      </c>
      <c r="X6" t="s">
        <v>494</v>
      </c>
      <c r="Y6" t="s">
        <v>495</v>
      </c>
      <c r="Z6">
        <v>1</v>
      </c>
      <c r="AA6">
        <v>1</v>
      </c>
      <c r="AC6" t="s">
        <v>512</v>
      </c>
      <c r="AD6" t="s">
        <v>510</v>
      </c>
      <c r="AE6" t="s">
        <v>42</v>
      </c>
      <c r="AF6" t="s">
        <v>496</v>
      </c>
      <c r="AG6" t="b">
        <v>0</v>
      </c>
      <c r="AH6" t="b">
        <v>0</v>
      </c>
      <c r="AI6" t="b">
        <v>0</v>
      </c>
      <c r="AK6" t="s">
        <v>497</v>
      </c>
      <c r="AL6" t="b">
        <v>0</v>
      </c>
      <c r="AM6" t="b">
        <v>0</v>
      </c>
    </row>
    <row r="7" spans="1:39">
      <c r="A7" t="s">
        <v>513</v>
      </c>
      <c r="B7" t="b">
        <v>1</v>
      </c>
      <c r="C7">
        <v>102626</v>
      </c>
      <c r="D7" t="s">
        <v>318</v>
      </c>
      <c r="E7" t="s">
        <v>319</v>
      </c>
      <c r="F7" t="s">
        <v>488</v>
      </c>
      <c r="G7" t="s">
        <v>489</v>
      </c>
      <c r="H7" t="s">
        <v>46</v>
      </c>
      <c r="I7">
        <v>1</v>
      </c>
      <c r="J7" s="4">
        <v>38861</v>
      </c>
      <c r="K7" s="4">
        <v>38861</v>
      </c>
      <c r="L7" s="5">
        <v>0</v>
      </c>
      <c r="M7" s="5">
        <v>0</v>
      </c>
      <c r="N7">
        <v>55.555309999999999</v>
      </c>
      <c r="O7">
        <v>13.8569</v>
      </c>
      <c r="P7">
        <v>427893</v>
      </c>
      <c r="Q7">
        <v>6157182</v>
      </c>
      <c r="R7" t="s">
        <v>490</v>
      </c>
      <c r="S7">
        <v>140</v>
      </c>
      <c r="T7" t="s">
        <v>491</v>
      </c>
      <c r="U7" t="s">
        <v>492</v>
      </c>
      <c r="V7" t="s">
        <v>493</v>
      </c>
      <c r="W7" t="s">
        <v>494</v>
      </c>
      <c r="X7" t="s">
        <v>494</v>
      </c>
      <c r="Y7" t="s">
        <v>495</v>
      </c>
      <c r="Z7">
        <v>2</v>
      </c>
      <c r="AA7">
        <v>2</v>
      </c>
      <c r="AE7" t="s">
        <v>52</v>
      </c>
      <c r="AF7" t="s">
        <v>496</v>
      </c>
      <c r="AG7" t="b">
        <v>0</v>
      </c>
      <c r="AH7" t="b">
        <v>0</v>
      </c>
      <c r="AI7" t="b">
        <v>0</v>
      </c>
      <c r="AK7" t="s">
        <v>497</v>
      </c>
      <c r="AL7" t="b">
        <v>0</v>
      </c>
      <c r="AM7" t="b">
        <v>0</v>
      </c>
    </row>
    <row r="8" spans="1:39">
      <c r="A8" t="s">
        <v>514</v>
      </c>
      <c r="B8" t="b">
        <v>1</v>
      </c>
      <c r="C8">
        <v>103055</v>
      </c>
      <c r="D8" t="s">
        <v>413</v>
      </c>
      <c r="E8" t="s">
        <v>414</v>
      </c>
      <c r="F8" t="s">
        <v>488</v>
      </c>
      <c r="G8" t="s">
        <v>489</v>
      </c>
      <c r="H8" t="s">
        <v>41</v>
      </c>
      <c r="I8">
        <v>1</v>
      </c>
      <c r="J8" s="4">
        <v>39253</v>
      </c>
      <c r="K8" s="4">
        <v>39253</v>
      </c>
      <c r="L8" s="5">
        <v>0.42499999999999999</v>
      </c>
      <c r="M8" s="5">
        <v>0.46875</v>
      </c>
      <c r="N8">
        <v>55.525750000000002</v>
      </c>
      <c r="O8">
        <v>13.88649</v>
      </c>
      <c r="P8">
        <v>429706</v>
      </c>
      <c r="Q8">
        <v>6153862</v>
      </c>
      <c r="R8" t="s">
        <v>490</v>
      </c>
      <c r="S8">
        <v>311</v>
      </c>
      <c r="T8" t="s">
        <v>515</v>
      </c>
      <c r="U8" t="s">
        <v>516</v>
      </c>
      <c r="V8" t="s">
        <v>493</v>
      </c>
      <c r="W8" t="s">
        <v>494</v>
      </c>
      <c r="X8" t="s">
        <v>494</v>
      </c>
      <c r="Y8" t="s">
        <v>517</v>
      </c>
      <c r="Z8">
        <v>1</v>
      </c>
      <c r="AA8">
        <v>1</v>
      </c>
      <c r="AE8" t="s">
        <v>42</v>
      </c>
      <c r="AF8" t="s">
        <v>496</v>
      </c>
      <c r="AG8" t="b">
        <v>0</v>
      </c>
      <c r="AH8" t="b">
        <v>0</v>
      </c>
      <c r="AI8" t="b">
        <v>0</v>
      </c>
      <c r="AK8" t="s">
        <v>497</v>
      </c>
      <c r="AL8" t="b">
        <v>0</v>
      </c>
      <c r="AM8" t="b">
        <v>0</v>
      </c>
    </row>
    <row r="9" spans="1:39">
      <c r="A9" t="s">
        <v>518</v>
      </c>
      <c r="B9" t="b">
        <v>1</v>
      </c>
      <c r="C9">
        <v>102626</v>
      </c>
      <c r="D9" t="s">
        <v>318</v>
      </c>
      <c r="E9" t="s">
        <v>319</v>
      </c>
      <c r="F9" t="s">
        <v>488</v>
      </c>
      <c r="G9" t="s">
        <v>489</v>
      </c>
      <c r="H9" t="s">
        <v>46</v>
      </c>
      <c r="I9">
        <v>1</v>
      </c>
      <c r="J9" s="4">
        <v>39296</v>
      </c>
      <c r="K9" s="4">
        <v>39296</v>
      </c>
      <c r="L9" s="5">
        <v>0</v>
      </c>
      <c r="M9" s="5">
        <v>0</v>
      </c>
      <c r="N9">
        <v>55.555309999999999</v>
      </c>
      <c r="O9">
        <v>13.8569</v>
      </c>
      <c r="P9">
        <v>427893</v>
      </c>
      <c r="Q9">
        <v>6157182</v>
      </c>
      <c r="R9" t="s">
        <v>490</v>
      </c>
      <c r="S9">
        <v>140</v>
      </c>
      <c r="T9" t="s">
        <v>491</v>
      </c>
      <c r="U9" t="s">
        <v>492</v>
      </c>
      <c r="V9" t="s">
        <v>493</v>
      </c>
      <c r="W9" t="s">
        <v>494</v>
      </c>
      <c r="X9" t="s">
        <v>494</v>
      </c>
      <c r="Y9" t="s">
        <v>495</v>
      </c>
      <c r="Z9">
        <v>2</v>
      </c>
      <c r="AA9">
        <v>2</v>
      </c>
      <c r="AC9" t="s">
        <v>519</v>
      </c>
      <c r="AE9" t="s">
        <v>43</v>
      </c>
      <c r="AF9" t="s">
        <v>496</v>
      </c>
      <c r="AG9" t="b">
        <v>0</v>
      </c>
      <c r="AH9" t="b">
        <v>0</v>
      </c>
      <c r="AI9" t="b">
        <v>0</v>
      </c>
      <c r="AK9" t="s">
        <v>497</v>
      </c>
      <c r="AL9" t="b">
        <v>0</v>
      </c>
      <c r="AM9" t="b">
        <v>0</v>
      </c>
    </row>
    <row r="10" spans="1:39">
      <c r="A10" t="s">
        <v>520</v>
      </c>
      <c r="B10" t="b">
        <v>1</v>
      </c>
      <c r="C10">
        <v>103036</v>
      </c>
      <c r="D10" t="s">
        <v>324</v>
      </c>
      <c r="E10" t="s">
        <v>325</v>
      </c>
      <c r="F10" t="s">
        <v>488</v>
      </c>
      <c r="G10" t="s">
        <v>489</v>
      </c>
      <c r="H10" t="s">
        <v>46</v>
      </c>
      <c r="I10">
        <v>1</v>
      </c>
      <c r="J10" s="4">
        <v>39988</v>
      </c>
      <c r="K10" s="4">
        <v>39988</v>
      </c>
      <c r="L10" s="5">
        <v>0</v>
      </c>
      <c r="M10" s="5">
        <v>0</v>
      </c>
      <c r="N10">
        <v>55.564190000000004</v>
      </c>
      <c r="O10">
        <v>13.96203</v>
      </c>
      <c r="P10">
        <v>434539</v>
      </c>
      <c r="Q10">
        <v>6158065</v>
      </c>
      <c r="R10" t="s">
        <v>490</v>
      </c>
      <c r="S10">
        <v>1293</v>
      </c>
      <c r="T10" t="s">
        <v>521</v>
      </c>
      <c r="U10" t="s">
        <v>508</v>
      </c>
      <c r="V10" t="s">
        <v>504</v>
      </c>
      <c r="W10" t="s">
        <v>494</v>
      </c>
      <c r="X10" t="s">
        <v>494</v>
      </c>
      <c r="Y10" t="s">
        <v>522</v>
      </c>
      <c r="AE10" t="s">
        <v>433</v>
      </c>
      <c r="AF10" t="s">
        <v>496</v>
      </c>
      <c r="AG10" t="b">
        <v>0</v>
      </c>
      <c r="AH10" t="b">
        <v>0</v>
      </c>
      <c r="AI10" t="b">
        <v>0</v>
      </c>
      <c r="AK10" t="s">
        <v>497</v>
      </c>
      <c r="AL10" t="b">
        <v>0</v>
      </c>
      <c r="AM10" t="b">
        <v>0</v>
      </c>
    </row>
    <row r="11" spans="1:39">
      <c r="A11" t="s">
        <v>523</v>
      </c>
      <c r="B11" t="b">
        <v>1</v>
      </c>
      <c r="C11">
        <v>103037</v>
      </c>
      <c r="D11" t="s">
        <v>368</v>
      </c>
      <c r="E11" t="s">
        <v>369</v>
      </c>
      <c r="F11" t="s">
        <v>488</v>
      </c>
      <c r="G11" t="s">
        <v>489</v>
      </c>
      <c r="H11" t="s">
        <v>85</v>
      </c>
      <c r="I11">
        <v>1</v>
      </c>
      <c r="J11" s="4">
        <v>39229</v>
      </c>
      <c r="K11" s="4">
        <v>39229</v>
      </c>
      <c r="L11" s="5">
        <v>0.35416666666666669</v>
      </c>
      <c r="M11" s="5">
        <v>0.38541666666666669</v>
      </c>
      <c r="N11">
        <v>55.525739999999999</v>
      </c>
      <c r="O11">
        <v>13.93807</v>
      </c>
      <c r="P11">
        <v>432962</v>
      </c>
      <c r="Q11">
        <v>6153810</v>
      </c>
      <c r="R11" t="s">
        <v>490</v>
      </c>
      <c r="S11">
        <v>1981</v>
      </c>
      <c r="T11" t="s">
        <v>524</v>
      </c>
      <c r="U11" t="s">
        <v>525</v>
      </c>
      <c r="V11" t="s">
        <v>504</v>
      </c>
      <c r="W11" t="s">
        <v>494</v>
      </c>
      <c r="X11" t="s">
        <v>494</v>
      </c>
      <c r="Y11" t="s">
        <v>526</v>
      </c>
      <c r="Z11">
        <v>2</v>
      </c>
      <c r="AA11">
        <v>2</v>
      </c>
      <c r="AD11" t="s">
        <v>527</v>
      </c>
      <c r="AE11" t="s">
        <v>431</v>
      </c>
      <c r="AF11" t="s">
        <v>496</v>
      </c>
      <c r="AG11" t="b">
        <v>0</v>
      </c>
      <c r="AH11" t="b">
        <v>0</v>
      </c>
      <c r="AI11" t="b">
        <v>0</v>
      </c>
      <c r="AK11" t="s">
        <v>497</v>
      </c>
      <c r="AL11" t="b">
        <v>0</v>
      </c>
      <c r="AM11" t="b">
        <v>0</v>
      </c>
    </row>
    <row r="12" spans="1:39">
      <c r="A12" t="s">
        <v>528</v>
      </c>
      <c r="B12" t="b">
        <v>1</v>
      </c>
      <c r="C12">
        <v>103055</v>
      </c>
      <c r="D12" t="s">
        <v>413</v>
      </c>
      <c r="E12" t="s">
        <v>414</v>
      </c>
      <c r="F12" t="s">
        <v>488</v>
      </c>
      <c r="G12" t="s">
        <v>489</v>
      </c>
      <c r="H12" t="s">
        <v>41</v>
      </c>
      <c r="I12">
        <v>1</v>
      </c>
      <c r="J12" s="4">
        <v>39275</v>
      </c>
      <c r="K12" s="4">
        <v>39275</v>
      </c>
      <c r="L12" s="5">
        <v>0</v>
      </c>
      <c r="M12" s="5">
        <v>0</v>
      </c>
      <c r="N12">
        <v>55.525750000000002</v>
      </c>
      <c r="O12">
        <v>13.88649</v>
      </c>
      <c r="P12">
        <v>429706</v>
      </c>
      <c r="Q12">
        <v>6153862</v>
      </c>
      <c r="R12" t="s">
        <v>490</v>
      </c>
      <c r="S12">
        <v>311</v>
      </c>
      <c r="T12" t="s">
        <v>515</v>
      </c>
      <c r="U12" t="s">
        <v>516</v>
      </c>
      <c r="V12" t="s">
        <v>493</v>
      </c>
      <c r="W12" t="s">
        <v>494</v>
      </c>
      <c r="X12" t="s">
        <v>494</v>
      </c>
      <c r="Y12" t="s">
        <v>529</v>
      </c>
      <c r="Z12">
        <v>1</v>
      </c>
      <c r="AA12">
        <v>1</v>
      </c>
      <c r="AD12" t="s">
        <v>510</v>
      </c>
      <c r="AE12" t="s">
        <v>42</v>
      </c>
      <c r="AF12" t="s">
        <v>496</v>
      </c>
      <c r="AG12" t="b">
        <v>0</v>
      </c>
      <c r="AH12" t="b">
        <v>0</v>
      </c>
      <c r="AI12" t="b">
        <v>0</v>
      </c>
      <c r="AK12" t="s">
        <v>497</v>
      </c>
      <c r="AL12" t="b">
        <v>0</v>
      </c>
      <c r="AM12" t="b">
        <v>0</v>
      </c>
    </row>
    <row r="13" spans="1:39">
      <c r="A13" t="s">
        <v>530</v>
      </c>
      <c r="B13" t="b">
        <v>1</v>
      </c>
      <c r="C13">
        <v>102626</v>
      </c>
      <c r="D13" t="s">
        <v>318</v>
      </c>
      <c r="E13" t="s">
        <v>319</v>
      </c>
      <c r="F13" t="s">
        <v>488</v>
      </c>
      <c r="G13" t="s">
        <v>489</v>
      </c>
      <c r="H13" t="s">
        <v>46</v>
      </c>
      <c r="I13">
        <v>1</v>
      </c>
      <c r="J13" s="4">
        <v>42498</v>
      </c>
      <c r="K13" s="4">
        <v>42498</v>
      </c>
      <c r="N13">
        <v>55.558250000000001</v>
      </c>
      <c r="O13">
        <v>13.85868</v>
      </c>
      <c r="P13">
        <v>428010</v>
      </c>
      <c r="Q13">
        <v>6157507</v>
      </c>
      <c r="R13" t="s">
        <v>490</v>
      </c>
      <c r="S13">
        <v>100</v>
      </c>
      <c r="T13" t="s">
        <v>531</v>
      </c>
      <c r="U13" t="s">
        <v>532</v>
      </c>
      <c r="V13" t="s">
        <v>504</v>
      </c>
      <c r="W13" t="s">
        <v>494</v>
      </c>
      <c r="X13" t="s">
        <v>494</v>
      </c>
      <c r="Y13" t="s">
        <v>495</v>
      </c>
      <c r="Z13">
        <v>1</v>
      </c>
      <c r="AA13">
        <v>1</v>
      </c>
      <c r="AC13" t="s">
        <v>512</v>
      </c>
      <c r="AD13" t="s">
        <v>510</v>
      </c>
      <c r="AE13" t="s">
        <v>42</v>
      </c>
      <c r="AF13" t="s">
        <v>496</v>
      </c>
      <c r="AG13" t="b">
        <v>0</v>
      </c>
      <c r="AH13" t="b">
        <v>0</v>
      </c>
      <c r="AI13" t="b">
        <v>0</v>
      </c>
      <c r="AK13" t="s">
        <v>497</v>
      </c>
      <c r="AL13" t="b">
        <v>0</v>
      </c>
      <c r="AM13" t="b">
        <v>0</v>
      </c>
    </row>
    <row r="14" spans="1:39">
      <c r="A14" t="s">
        <v>533</v>
      </c>
      <c r="B14" t="b">
        <v>1</v>
      </c>
      <c r="C14">
        <v>102972</v>
      </c>
      <c r="D14" t="s">
        <v>55</v>
      </c>
      <c r="E14" t="s">
        <v>56</v>
      </c>
      <c r="F14" t="s">
        <v>488</v>
      </c>
      <c r="G14" t="s">
        <v>489</v>
      </c>
      <c r="H14" t="s">
        <v>41</v>
      </c>
      <c r="I14">
        <v>1</v>
      </c>
      <c r="J14" s="4">
        <v>42945</v>
      </c>
      <c r="K14" s="4">
        <v>42945</v>
      </c>
      <c r="N14">
        <v>55.54081</v>
      </c>
      <c r="O14">
        <v>13.95609</v>
      </c>
      <c r="P14">
        <v>434125</v>
      </c>
      <c r="Q14">
        <v>6155470</v>
      </c>
      <c r="R14" t="s">
        <v>490</v>
      </c>
      <c r="S14">
        <v>1500</v>
      </c>
      <c r="T14" t="s">
        <v>507</v>
      </c>
      <c r="U14" t="s">
        <v>508</v>
      </c>
      <c r="V14" t="s">
        <v>504</v>
      </c>
      <c r="W14" t="s">
        <v>494</v>
      </c>
      <c r="X14" t="s">
        <v>494</v>
      </c>
      <c r="Y14" t="s">
        <v>534</v>
      </c>
      <c r="Z14">
        <v>1</v>
      </c>
      <c r="AA14">
        <v>1</v>
      </c>
      <c r="AE14" t="s">
        <v>42</v>
      </c>
      <c r="AF14" t="s">
        <v>496</v>
      </c>
      <c r="AG14" t="b">
        <v>0</v>
      </c>
      <c r="AH14" t="b">
        <v>0</v>
      </c>
      <c r="AI14" t="b">
        <v>0</v>
      </c>
      <c r="AK14" t="s">
        <v>497</v>
      </c>
      <c r="AL14" t="b">
        <v>0</v>
      </c>
      <c r="AM14" t="b">
        <v>0</v>
      </c>
    </row>
    <row r="15" spans="1:39">
      <c r="A15" t="s">
        <v>535</v>
      </c>
      <c r="B15" t="b">
        <v>1</v>
      </c>
      <c r="C15">
        <v>103020</v>
      </c>
      <c r="D15" t="s">
        <v>328</v>
      </c>
      <c r="E15" t="s">
        <v>329</v>
      </c>
      <c r="F15" t="s">
        <v>488</v>
      </c>
      <c r="G15" t="s">
        <v>489</v>
      </c>
      <c r="H15" t="s">
        <v>41</v>
      </c>
      <c r="I15">
        <v>1</v>
      </c>
      <c r="J15" s="4">
        <v>43254</v>
      </c>
      <c r="K15" s="4">
        <v>43254</v>
      </c>
      <c r="L15" s="5">
        <v>0.61458333333333337</v>
      </c>
      <c r="M15" s="5">
        <v>0.6875</v>
      </c>
      <c r="N15">
        <v>55.525739999999999</v>
      </c>
      <c r="O15">
        <v>13.93807</v>
      </c>
      <c r="P15">
        <v>432962</v>
      </c>
      <c r="Q15">
        <v>6153810</v>
      </c>
      <c r="R15" t="s">
        <v>490</v>
      </c>
      <c r="S15">
        <v>1981</v>
      </c>
      <c r="T15" t="s">
        <v>524</v>
      </c>
      <c r="U15" t="s">
        <v>525</v>
      </c>
      <c r="V15" t="s">
        <v>504</v>
      </c>
      <c r="W15" t="s">
        <v>494</v>
      </c>
      <c r="X15" t="s">
        <v>494</v>
      </c>
      <c r="Y15" t="s">
        <v>536</v>
      </c>
      <c r="Z15">
        <v>1</v>
      </c>
      <c r="AA15">
        <v>1</v>
      </c>
      <c r="AE15" t="s">
        <v>431</v>
      </c>
      <c r="AF15" t="s">
        <v>496</v>
      </c>
      <c r="AG15" t="b">
        <v>0</v>
      </c>
      <c r="AH15" t="b">
        <v>0</v>
      </c>
      <c r="AI15" t="b">
        <v>0</v>
      </c>
      <c r="AK15" t="s">
        <v>497</v>
      </c>
      <c r="AL15" t="b">
        <v>0</v>
      </c>
      <c r="AM15" t="b">
        <v>0</v>
      </c>
    </row>
    <row r="16" spans="1:39">
      <c r="A16" t="s">
        <v>537</v>
      </c>
      <c r="B16" t="b">
        <v>1</v>
      </c>
      <c r="C16">
        <v>102972</v>
      </c>
      <c r="D16" t="s">
        <v>55</v>
      </c>
      <c r="E16" t="s">
        <v>56</v>
      </c>
      <c r="F16" t="s">
        <v>488</v>
      </c>
      <c r="G16" t="s">
        <v>489</v>
      </c>
      <c r="H16" t="s">
        <v>41</v>
      </c>
      <c r="I16">
        <v>1</v>
      </c>
      <c r="J16" s="4">
        <v>43540</v>
      </c>
      <c r="K16" s="4">
        <v>43540</v>
      </c>
      <c r="N16">
        <v>55.54081</v>
      </c>
      <c r="O16">
        <v>13.95609</v>
      </c>
      <c r="P16">
        <v>434125</v>
      </c>
      <c r="Q16">
        <v>6155470</v>
      </c>
      <c r="R16" t="s">
        <v>490</v>
      </c>
      <c r="S16">
        <v>1500</v>
      </c>
      <c r="T16" t="s">
        <v>507</v>
      </c>
      <c r="U16" t="s">
        <v>508</v>
      </c>
      <c r="V16" t="s">
        <v>504</v>
      </c>
      <c r="W16" t="s">
        <v>494</v>
      </c>
      <c r="X16" t="s">
        <v>494</v>
      </c>
      <c r="Y16" t="s">
        <v>536</v>
      </c>
      <c r="Z16">
        <v>3</v>
      </c>
      <c r="AA16">
        <v>3</v>
      </c>
      <c r="AE16" t="s">
        <v>538</v>
      </c>
      <c r="AF16" t="s">
        <v>496</v>
      </c>
      <c r="AG16" t="b">
        <v>0</v>
      </c>
      <c r="AH16" t="b">
        <v>0</v>
      </c>
      <c r="AI16" t="b">
        <v>0</v>
      </c>
      <c r="AK16" t="s">
        <v>497</v>
      </c>
      <c r="AL16" t="b">
        <v>0</v>
      </c>
      <c r="AM16" t="b">
        <v>0</v>
      </c>
    </row>
    <row r="17" spans="1:39">
      <c r="A17" t="s">
        <v>539</v>
      </c>
      <c r="B17" t="b">
        <v>1</v>
      </c>
      <c r="C17">
        <v>102990</v>
      </c>
      <c r="D17" t="s">
        <v>39</v>
      </c>
      <c r="E17" t="s">
        <v>40</v>
      </c>
      <c r="F17" t="s">
        <v>488</v>
      </c>
      <c r="G17" t="s">
        <v>489</v>
      </c>
      <c r="H17" t="s">
        <v>41</v>
      </c>
      <c r="I17">
        <v>1</v>
      </c>
      <c r="J17" s="4">
        <v>42096</v>
      </c>
      <c r="K17" s="4">
        <v>42096</v>
      </c>
      <c r="L17" s="5">
        <v>0.4201388888888889</v>
      </c>
      <c r="M17" s="5">
        <v>0.4548611111111111</v>
      </c>
      <c r="N17">
        <v>55.555309999999999</v>
      </c>
      <c r="O17">
        <v>13.8569</v>
      </c>
      <c r="P17">
        <v>427893</v>
      </c>
      <c r="Q17">
        <v>6157182</v>
      </c>
      <c r="R17" t="s">
        <v>490</v>
      </c>
      <c r="S17">
        <v>140</v>
      </c>
      <c r="T17" t="s">
        <v>491</v>
      </c>
      <c r="U17" t="s">
        <v>492</v>
      </c>
      <c r="V17" t="s">
        <v>493</v>
      </c>
      <c r="W17" t="s">
        <v>494</v>
      </c>
      <c r="X17" t="s">
        <v>494</v>
      </c>
      <c r="Y17" t="s">
        <v>517</v>
      </c>
      <c r="Z17">
        <v>1</v>
      </c>
      <c r="AA17">
        <v>1</v>
      </c>
      <c r="AE17" t="s">
        <v>42</v>
      </c>
      <c r="AF17" t="s">
        <v>496</v>
      </c>
      <c r="AG17" t="b">
        <v>0</v>
      </c>
      <c r="AH17" t="b">
        <v>0</v>
      </c>
      <c r="AI17" t="b">
        <v>0</v>
      </c>
      <c r="AK17" t="s">
        <v>497</v>
      </c>
      <c r="AL17" t="b">
        <v>0</v>
      </c>
      <c r="AM17" t="b">
        <v>0</v>
      </c>
    </row>
    <row r="18" spans="1:39">
      <c r="A18" t="s">
        <v>540</v>
      </c>
      <c r="B18" t="b">
        <v>1</v>
      </c>
      <c r="C18">
        <v>102977</v>
      </c>
      <c r="D18" t="s">
        <v>47</v>
      </c>
      <c r="E18" t="s">
        <v>48</v>
      </c>
      <c r="F18" t="s">
        <v>488</v>
      </c>
      <c r="G18" t="s">
        <v>489</v>
      </c>
      <c r="H18" t="s">
        <v>46</v>
      </c>
      <c r="I18">
        <v>1</v>
      </c>
      <c r="J18" s="4">
        <v>42246</v>
      </c>
      <c r="K18" s="4">
        <v>42246</v>
      </c>
      <c r="L18" s="5">
        <v>0.79166666666666663</v>
      </c>
      <c r="M18" s="5">
        <v>0.79166666666666663</v>
      </c>
      <c r="N18">
        <v>55.547759999999997</v>
      </c>
      <c r="O18">
        <v>13.86754</v>
      </c>
      <c r="P18">
        <v>428550</v>
      </c>
      <c r="Q18">
        <v>6156331</v>
      </c>
      <c r="R18" t="s">
        <v>490</v>
      </c>
      <c r="S18">
        <v>627</v>
      </c>
      <c r="T18" t="s">
        <v>541</v>
      </c>
      <c r="U18" t="s">
        <v>525</v>
      </c>
      <c r="V18" t="s">
        <v>504</v>
      </c>
      <c r="W18" t="s">
        <v>494</v>
      </c>
      <c r="X18" t="s">
        <v>494</v>
      </c>
      <c r="Y18" t="s">
        <v>536</v>
      </c>
      <c r="Z18">
        <v>1</v>
      </c>
      <c r="AA18">
        <v>1</v>
      </c>
      <c r="AE18" t="s">
        <v>542</v>
      </c>
      <c r="AF18" t="s">
        <v>496</v>
      </c>
      <c r="AG18" t="b">
        <v>0</v>
      </c>
      <c r="AH18" t="b">
        <v>0</v>
      </c>
      <c r="AI18" t="b">
        <v>0</v>
      </c>
      <c r="AK18" t="s">
        <v>497</v>
      </c>
      <c r="AL18" t="b">
        <v>0</v>
      </c>
      <c r="AM18" t="b">
        <v>0</v>
      </c>
    </row>
    <row r="19" spans="1:39">
      <c r="A19" t="s">
        <v>543</v>
      </c>
      <c r="B19" t="b">
        <v>1</v>
      </c>
      <c r="C19">
        <v>102119</v>
      </c>
      <c r="D19" t="s">
        <v>291</v>
      </c>
      <c r="E19" t="s">
        <v>292</v>
      </c>
      <c r="F19" t="s">
        <v>488</v>
      </c>
      <c r="G19" t="s">
        <v>489</v>
      </c>
      <c r="H19" t="s">
        <v>41</v>
      </c>
      <c r="I19">
        <v>1</v>
      </c>
      <c r="J19" s="4">
        <v>41760</v>
      </c>
      <c r="K19" s="4">
        <v>41760</v>
      </c>
      <c r="L19" s="5">
        <v>0</v>
      </c>
      <c r="M19" s="5">
        <v>0</v>
      </c>
      <c r="N19">
        <v>55.555309999999999</v>
      </c>
      <c r="O19">
        <v>13.8569</v>
      </c>
      <c r="P19">
        <v>427893</v>
      </c>
      <c r="Q19">
        <v>6157182</v>
      </c>
      <c r="R19" t="s">
        <v>490</v>
      </c>
      <c r="S19">
        <v>140</v>
      </c>
      <c r="T19" t="s">
        <v>491</v>
      </c>
      <c r="U19" t="s">
        <v>492</v>
      </c>
      <c r="V19" t="s">
        <v>493</v>
      </c>
      <c r="W19" t="s">
        <v>494</v>
      </c>
      <c r="X19" t="s">
        <v>494</v>
      </c>
      <c r="Y19" t="s">
        <v>495</v>
      </c>
      <c r="Z19">
        <v>1</v>
      </c>
      <c r="AA19">
        <v>1</v>
      </c>
      <c r="AC19" t="s">
        <v>512</v>
      </c>
      <c r="AE19" t="s">
        <v>42</v>
      </c>
      <c r="AF19" t="s">
        <v>496</v>
      </c>
      <c r="AG19" t="b">
        <v>0</v>
      </c>
      <c r="AH19" t="b">
        <v>0</v>
      </c>
      <c r="AI19" t="b">
        <v>0</v>
      </c>
      <c r="AK19" t="s">
        <v>497</v>
      </c>
      <c r="AL19" t="b">
        <v>0</v>
      </c>
      <c r="AM19" t="b">
        <v>0</v>
      </c>
    </row>
    <row r="20" spans="1:39">
      <c r="A20" t="s">
        <v>544</v>
      </c>
      <c r="B20" t="b">
        <v>1</v>
      </c>
      <c r="C20">
        <v>103042</v>
      </c>
      <c r="D20" t="s">
        <v>398</v>
      </c>
      <c r="E20" t="s">
        <v>399</v>
      </c>
      <c r="F20" t="s">
        <v>488</v>
      </c>
      <c r="G20" t="s">
        <v>489</v>
      </c>
      <c r="H20" t="s">
        <v>85</v>
      </c>
      <c r="I20">
        <v>1</v>
      </c>
      <c r="J20" s="4">
        <v>45397</v>
      </c>
      <c r="K20" s="4">
        <v>45397</v>
      </c>
      <c r="N20">
        <v>55.524630000000002</v>
      </c>
      <c r="O20">
        <v>13.906879999999999</v>
      </c>
      <c r="P20">
        <v>430992</v>
      </c>
      <c r="Q20">
        <v>6153717</v>
      </c>
      <c r="R20" t="s">
        <v>490</v>
      </c>
      <c r="S20">
        <v>500</v>
      </c>
      <c r="T20" t="s">
        <v>545</v>
      </c>
      <c r="U20" t="s">
        <v>525</v>
      </c>
      <c r="V20" t="s">
        <v>504</v>
      </c>
      <c r="W20" t="s">
        <v>494</v>
      </c>
      <c r="X20" t="s">
        <v>494</v>
      </c>
      <c r="Y20" t="s">
        <v>526</v>
      </c>
      <c r="Z20">
        <v>1</v>
      </c>
      <c r="AA20">
        <v>1</v>
      </c>
      <c r="AE20" t="s">
        <v>42</v>
      </c>
      <c r="AF20" t="s">
        <v>496</v>
      </c>
      <c r="AG20" t="b">
        <v>0</v>
      </c>
      <c r="AH20" t="b">
        <v>0</v>
      </c>
      <c r="AI20" t="b">
        <v>0</v>
      </c>
      <c r="AK20" t="s">
        <v>497</v>
      </c>
      <c r="AL20" t="b">
        <v>0</v>
      </c>
      <c r="AM20" t="b">
        <v>0</v>
      </c>
    </row>
    <row r="21" spans="1:39">
      <c r="A21" t="s">
        <v>546</v>
      </c>
      <c r="B21" t="b">
        <v>1</v>
      </c>
      <c r="C21">
        <v>103055</v>
      </c>
      <c r="D21" t="s">
        <v>413</v>
      </c>
      <c r="E21" t="s">
        <v>414</v>
      </c>
      <c r="F21" t="s">
        <v>488</v>
      </c>
      <c r="G21" t="s">
        <v>489</v>
      </c>
      <c r="H21" t="s">
        <v>41</v>
      </c>
      <c r="I21">
        <v>1</v>
      </c>
      <c r="J21" s="4">
        <v>45083</v>
      </c>
      <c r="K21" s="4">
        <v>45083</v>
      </c>
      <c r="L21" s="5">
        <v>0.65902777777777777</v>
      </c>
      <c r="M21" s="5">
        <v>0.67152777777777772</v>
      </c>
      <c r="N21">
        <v>55.547759999999997</v>
      </c>
      <c r="O21">
        <v>13.86754</v>
      </c>
      <c r="P21">
        <v>428550</v>
      </c>
      <c r="Q21">
        <v>6156331</v>
      </c>
      <c r="R21" t="s">
        <v>490</v>
      </c>
      <c r="S21">
        <v>627</v>
      </c>
      <c r="T21" t="s">
        <v>541</v>
      </c>
      <c r="U21" t="s">
        <v>525</v>
      </c>
      <c r="V21" t="s">
        <v>504</v>
      </c>
      <c r="W21" t="s">
        <v>494</v>
      </c>
      <c r="X21" t="s">
        <v>494</v>
      </c>
      <c r="Y21" t="s">
        <v>547</v>
      </c>
      <c r="Z21">
        <v>1</v>
      </c>
      <c r="AA21">
        <v>1</v>
      </c>
      <c r="AE21" t="s">
        <v>42</v>
      </c>
      <c r="AF21" t="s">
        <v>496</v>
      </c>
      <c r="AG21" t="b">
        <v>0</v>
      </c>
      <c r="AH21" t="b">
        <v>0</v>
      </c>
      <c r="AI21" t="b">
        <v>0</v>
      </c>
      <c r="AK21" t="s">
        <v>497</v>
      </c>
      <c r="AL21" t="b">
        <v>0</v>
      </c>
      <c r="AM21" t="b">
        <v>0</v>
      </c>
    </row>
    <row r="22" spans="1:39">
      <c r="A22" t="s">
        <v>548</v>
      </c>
      <c r="B22" t="b">
        <v>1</v>
      </c>
      <c r="C22">
        <v>102972</v>
      </c>
      <c r="D22" t="s">
        <v>55</v>
      </c>
      <c r="E22" t="s">
        <v>56</v>
      </c>
      <c r="F22" t="s">
        <v>488</v>
      </c>
      <c r="G22" t="s">
        <v>489</v>
      </c>
      <c r="H22" t="s">
        <v>41</v>
      </c>
      <c r="I22">
        <v>1</v>
      </c>
      <c r="J22" s="4">
        <v>45052</v>
      </c>
      <c r="K22" s="4">
        <v>45052</v>
      </c>
      <c r="N22">
        <v>55.569319999999998</v>
      </c>
      <c r="O22">
        <v>13.92938</v>
      </c>
      <c r="P22">
        <v>432488</v>
      </c>
      <c r="Q22">
        <v>6158668</v>
      </c>
      <c r="R22" t="s">
        <v>490</v>
      </c>
      <c r="S22">
        <v>593</v>
      </c>
      <c r="T22" t="s">
        <v>549</v>
      </c>
      <c r="U22" t="s">
        <v>508</v>
      </c>
      <c r="V22" t="s">
        <v>504</v>
      </c>
      <c r="W22" t="s">
        <v>494</v>
      </c>
      <c r="X22" t="s">
        <v>494</v>
      </c>
      <c r="Y22" t="s">
        <v>550</v>
      </c>
      <c r="Z22">
        <v>1</v>
      </c>
      <c r="AA22">
        <v>1</v>
      </c>
      <c r="AE22" t="s">
        <v>538</v>
      </c>
      <c r="AF22" t="s">
        <v>496</v>
      </c>
      <c r="AG22" t="b">
        <v>0</v>
      </c>
      <c r="AH22" t="b">
        <v>0</v>
      </c>
      <c r="AI22" t="b">
        <v>0</v>
      </c>
      <c r="AK22" t="s">
        <v>497</v>
      </c>
      <c r="AL22" t="b">
        <v>0</v>
      </c>
      <c r="AM22" t="b">
        <v>0</v>
      </c>
    </row>
    <row r="23" spans="1:39">
      <c r="A23" t="s">
        <v>551</v>
      </c>
      <c r="B23" t="b">
        <v>1</v>
      </c>
      <c r="C23">
        <v>102930</v>
      </c>
      <c r="D23" t="s">
        <v>86</v>
      </c>
      <c r="E23" t="s">
        <v>87</v>
      </c>
      <c r="F23" t="s">
        <v>488</v>
      </c>
      <c r="G23" t="s">
        <v>489</v>
      </c>
      <c r="H23" t="s">
        <v>41</v>
      </c>
      <c r="I23">
        <v>1</v>
      </c>
      <c r="J23" s="4">
        <v>44673</v>
      </c>
      <c r="K23" s="4">
        <v>44673</v>
      </c>
      <c r="L23" s="5">
        <v>0.75694444444444442</v>
      </c>
      <c r="M23" s="5">
        <v>0.77777777777777779</v>
      </c>
      <c r="N23">
        <v>55.515189999999997</v>
      </c>
      <c r="O23">
        <v>13.899330000000001</v>
      </c>
      <c r="P23">
        <v>430498</v>
      </c>
      <c r="Q23">
        <v>6152673</v>
      </c>
      <c r="R23" t="s">
        <v>490</v>
      </c>
      <c r="S23">
        <v>125</v>
      </c>
      <c r="T23" t="s">
        <v>552</v>
      </c>
      <c r="U23" t="s">
        <v>525</v>
      </c>
      <c r="V23" t="s">
        <v>504</v>
      </c>
      <c r="W23" t="s">
        <v>494</v>
      </c>
      <c r="X23" t="s">
        <v>494</v>
      </c>
      <c r="Y23" t="s">
        <v>536</v>
      </c>
      <c r="Z23">
        <v>2</v>
      </c>
      <c r="AA23">
        <v>2</v>
      </c>
      <c r="AD23" t="s">
        <v>527</v>
      </c>
      <c r="AE23" t="s">
        <v>538</v>
      </c>
      <c r="AF23" t="s">
        <v>496</v>
      </c>
      <c r="AG23" t="b">
        <v>0</v>
      </c>
      <c r="AH23" t="b">
        <v>0</v>
      </c>
      <c r="AI23" t="b">
        <v>0</v>
      </c>
      <c r="AK23" t="s">
        <v>497</v>
      </c>
      <c r="AL23" t="b">
        <v>0</v>
      </c>
      <c r="AM23" t="b">
        <v>0</v>
      </c>
    </row>
    <row r="24" spans="1:39">
      <c r="A24" t="s">
        <v>553</v>
      </c>
      <c r="B24" t="b">
        <v>1</v>
      </c>
      <c r="C24">
        <v>102623</v>
      </c>
      <c r="D24" t="s">
        <v>53</v>
      </c>
      <c r="E24" t="s">
        <v>54</v>
      </c>
      <c r="F24" t="s">
        <v>488</v>
      </c>
      <c r="G24" t="s">
        <v>489</v>
      </c>
      <c r="H24" t="s">
        <v>46</v>
      </c>
      <c r="I24">
        <v>1</v>
      </c>
      <c r="J24" s="4">
        <v>45011</v>
      </c>
      <c r="K24" s="4">
        <v>45011</v>
      </c>
      <c r="N24">
        <v>55.556199999999997</v>
      </c>
      <c r="O24">
        <v>13.93919</v>
      </c>
      <c r="P24">
        <v>433085</v>
      </c>
      <c r="Q24">
        <v>6157198</v>
      </c>
      <c r="R24" t="s">
        <v>490</v>
      </c>
      <c r="S24">
        <v>25</v>
      </c>
      <c r="T24" t="s">
        <v>554</v>
      </c>
      <c r="U24" t="s">
        <v>508</v>
      </c>
      <c r="V24" t="s">
        <v>504</v>
      </c>
      <c r="W24" t="s">
        <v>494</v>
      </c>
      <c r="X24" t="s">
        <v>494</v>
      </c>
      <c r="Y24" t="s">
        <v>555</v>
      </c>
      <c r="Z24">
        <v>1</v>
      </c>
      <c r="AA24">
        <v>1</v>
      </c>
      <c r="AD24" t="s">
        <v>510</v>
      </c>
      <c r="AE24" t="s">
        <v>42</v>
      </c>
      <c r="AF24" t="s">
        <v>496</v>
      </c>
      <c r="AG24" t="b">
        <v>0</v>
      </c>
      <c r="AH24" t="b">
        <v>0</v>
      </c>
      <c r="AI24" t="b">
        <v>0</v>
      </c>
      <c r="AK24" t="s">
        <v>497</v>
      </c>
      <c r="AL24" t="b">
        <v>0</v>
      </c>
      <c r="AM24" t="b">
        <v>0</v>
      </c>
    </row>
    <row r="25" spans="1:39">
      <c r="A25" t="s">
        <v>556</v>
      </c>
      <c r="B25" t="b">
        <v>1</v>
      </c>
      <c r="C25">
        <v>103036</v>
      </c>
      <c r="D25" t="s">
        <v>324</v>
      </c>
      <c r="E25" t="s">
        <v>325</v>
      </c>
      <c r="F25" t="s">
        <v>488</v>
      </c>
      <c r="G25" t="s">
        <v>489</v>
      </c>
      <c r="H25" t="s">
        <v>46</v>
      </c>
      <c r="I25">
        <v>1</v>
      </c>
      <c r="J25" s="4">
        <v>44940</v>
      </c>
      <c r="K25" s="4">
        <v>44940</v>
      </c>
      <c r="L25" s="5">
        <v>0.52083333333333337</v>
      </c>
      <c r="M25" s="5">
        <v>0.5625</v>
      </c>
      <c r="N25">
        <v>55.530740000000002</v>
      </c>
      <c r="O25">
        <v>13.879630000000001</v>
      </c>
      <c r="P25">
        <v>429282</v>
      </c>
      <c r="Q25">
        <v>6154424</v>
      </c>
      <c r="R25" t="s">
        <v>490</v>
      </c>
      <c r="S25">
        <v>310</v>
      </c>
      <c r="T25" t="s">
        <v>499</v>
      </c>
      <c r="U25" t="s">
        <v>492</v>
      </c>
      <c r="V25" t="s">
        <v>493</v>
      </c>
      <c r="W25" t="s">
        <v>494</v>
      </c>
      <c r="X25" t="s">
        <v>494</v>
      </c>
      <c r="Y25" t="s">
        <v>557</v>
      </c>
      <c r="Z25">
        <v>3</v>
      </c>
      <c r="AA25">
        <v>3</v>
      </c>
      <c r="AE25" t="s">
        <v>42</v>
      </c>
      <c r="AF25" t="s">
        <v>496</v>
      </c>
      <c r="AG25" t="b">
        <v>0</v>
      </c>
      <c r="AH25" t="b">
        <v>0</v>
      </c>
      <c r="AI25" t="b">
        <v>0</v>
      </c>
      <c r="AK25" t="s">
        <v>497</v>
      </c>
      <c r="AL25" t="b">
        <v>0</v>
      </c>
      <c r="AM25" t="b">
        <v>0</v>
      </c>
    </row>
    <row r="26" spans="1:39">
      <c r="A26" t="s">
        <v>558</v>
      </c>
      <c r="B26" t="b">
        <v>1</v>
      </c>
      <c r="C26">
        <v>102930</v>
      </c>
      <c r="D26" t="s">
        <v>86</v>
      </c>
      <c r="E26" t="s">
        <v>87</v>
      </c>
      <c r="F26" t="s">
        <v>488</v>
      </c>
      <c r="G26" t="s">
        <v>489</v>
      </c>
      <c r="H26" t="s">
        <v>41</v>
      </c>
      <c r="I26">
        <v>1</v>
      </c>
      <c r="J26" s="4">
        <v>43926</v>
      </c>
      <c r="K26" s="4">
        <v>43926</v>
      </c>
      <c r="L26" s="5">
        <v>0.51041666666666663</v>
      </c>
      <c r="M26" s="5">
        <v>0.58333333333333337</v>
      </c>
      <c r="N26">
        <v>55.515189999999997</v>
      </c>
      <c r="O26">
        <v>13.899330000000001</v>
      </c>
      <c r="P26">
        <v>430498</v>
      </c>
      <c r="Q26">
        <v>6152673</v>
      </c>
      <c r="R26" t="s">
        <v>490</v>
      </c>
      <c r="S26">
        <v>125</v>
      </c>
      <c r="T26" t="s">
        <v>552</v>
      </c>
      <c r="U26" t="s">
        <v>525</v>
      </c>
      <c r="V26" t="s">
        <v>504</v>
      </c>
      <c r="W26" t="s">
        <v>494</v>
      </c>
      <c r="X26" t="s">
        <v>494</v>
      </c>
      <c r="Y26" t="s">
        <v>536</v>
      </c>
      <c r="Z26">
        <v>4</v>
      </c>
      <c r="AA26">
        <v>4</v>
      </c>
      <c r="AD26" t="s">
        <v>527</v>
      </c>
      <c r="AE26" t="s">
        <v>51</v>
      </c>
      <c r="AF26" t="s">
        <v>496</v>
      </c>
      <c r="AG26" t="b">
        <v>0</v>
      </c>
      <c r="AH26" t="b">
        <v>0</v>
      </c>
      <c r="AI26" t="b">
        <v>0</v>
      </c>
      <c r="AK26" t="s">
        <v>497</v>
      </c>
      <c r="AL26" t="b">
        <v>0</v>
      </c>
      <c r="AM26" t="b">
        <v>0</v>
      </c>
    </row>
    <row r="27" spans="1:39">
      <c r="A27" t="s">
        <v>559</v>
      </c>
      <c r="B27" t="b">
        <v>1</v>
      </c>
      <c r="C27">
        <v>103036</v>
      </c>
      <c r="D27" t="s">
        <v>324</v>
      </c>
      <c r="E27" t="s">
        <v>325</v>
      </c>
      <c r="F27" t="s">
        <v>488</v>
      </c>
      <c r="G27" t="s">
        <v>489</v>
      </c>
      <c r="H27" t="s">
        <v>46</v>
      </c>
      <c r="I27">
        <v>1</v>
      </c>
      <c r="J27" s="4">
        <v>43932</v>
      </c>
      <c r="K27" s="4">
        <v>43932</v>
      </c>
      <c r="L27" s="5">
        <v>0.41666666666666669</v>
      </c>
      <c r="M27" s="5">
        <v>0.4375</v>
      </c>
      <c r="N27">
        <v>55.525750000000002</v>
      </c>
      <c r="O27">
        <v>13.88649</v>
      </c>
      <c r="P27">
        <v>429706</v>
      </c>
      <c r="Q27">
        <v>6153862</v>
      </c>
      <c r="R27" t="s">
        <v>490</v>
      </c>
      <c r="S27">
        <v>311</v>
      </c>
      <c r="T27" t="s">
        <v>515</v>
      </c>
      <c r="U27" t="s">
        <v>516</v>
      </c>
      <c r="V27" t="s">
        <v>493</v>
      </c>
      <c r="W27" t="s">
        <v>494</v>
      </c>
      <c r="X27" t="s">
        <v>494</v>
      </c>
      <c r="Y27" t="s">
        <v>560</v>
      </c>
      <c r="Z27">
        <v>2</v>
      </c>
      <c r="AA27">
        <v>2</v>
      </c>
      <c r="AD27" t="s">
        <v>527</v>
      </c>
      <c r="AE27" t="s">
        <v>62</v>
      </c>
      <c r="AF27" t="s">
        <v>496</v>
      </c>
      <c r="AG27" t="b">
        <v>0</v>
      </c>
      <c r="AH27" t="b">
        <v>0</v>
      </c>
      <c r="AI27" t="b">
        <v>0</v>
      </c>
      <c r="AK27" t="s">
        <v>497</v>
      </c>
      <c r="AL27" t="b">
        <v>0</v>
      </c>
      <c r="AM27" t="b">
        <v>0</v>
      </c>
    </row>
    <row r="28" spans="1:39">
      <c r="A28" t="s">
        <v>561</v>
      </c>
      <c r="B28" t="b">
        <v>1</v>
      </c>
      <c r="C28">
        <v>102105</v>
      </c>
      <c r="D28" t="s">
        <v>110</v>
      </c>
      <c r="E28" t="s">
        <v>111</v>
      </c>
      <c r="F28" t="s">
        <v>488</v>
      </c>
      <c r="G28" t="s">
        <v>489</v>
      </c>
      <c r="H28" t="s">
        <v>46</v>
      </c>
      <c r="I28">
        <v>1</v>
      </c>
      <c r="J28" s="4">
        <v>43983</v>
      </c>
      <c r="K28" s="4">
        <v>43983</v>
      </c>
      <c r="L28" s="5">
        <v>0.81944444444444442</v>
      </c>
      <c r="M28" s="5">
        <v>0.86111111111111116</v>
      </c>
      <c r="N28">
        <v>55.515189999999997</v>
      </c>
      <c r="O28">
        <v>13.899330000000001</v>
      </c>
      <c r="P28">
        <v>430498</v>
      </c>
      <c r="Q28">
        <v>6152673</v>
      </c>
      <c r="R28" t="s">
        <v>490</v>
      </c>
      <c r="S28">
        <v>125</v>
      </c>
      <c r="T28" t="s">
        <v>552</v>
      </c>
      <c r="U28" t="s">
        <v>525</v>
      </c>
      <c r="V28" t="s">
        <v>504</v>
      </c>
      <c r="W28" t="s">
        <v>494</v>
      </c>
      <c r="X28" t="s">
        <v>494</v>
      </c>
      <c r="Y28" t="s">
        <v>536</v>
      </c>
      <c r="Z28">
        <v>2</v>
      </c>
      <c r="AA28">
        <v>2</v>
      </c>
      <c r="AD28" t="s">
        <v>527</v>
      </c>
      <c r="AE28" t="s">
        <v>538</v>
      </c>
      <c r="AF28" t="s">
        <v>496</v>
      </c>
      <c r="AG28" t="b">
        <v>0</v>
      </c>
      <c r="AH28" t="b">
        <v>0</v>
      </c>
      <c r="AI28" t="b">
        <v>0</v>
      </c>
      <c r="AK28" t="s">
        <v>497</v>
      </c>
      <c r="AL28" t="b">
        <v>0</v>
      </c>
      <c r="AM28" t="b">
        <v>0</v>
      </c>
    </row>
    <row r="29" spans="1:39">
      <c r="A29" t="s">
        <v>562</v>
      </c>
      <c r="B29" t="b">
        <v>1</v>
      </c>
      <c r="C29">
        <v>102105</v>
      </c>
      <c r="D29" t="s">
        <v>110</v>
      </c>
      <c r="E29" t="s">
        <v>111</v>
      </c>
      <c r="F29" t="s">
        <v>488</v>
      </c>
      <c r="G29" t="s">
        <v>489</v>
      </c>
      <c r="H29" t="s">
        <v>46</v>
      </c>
      <c r="I29">
        <v>1</v>
      </c>
      <c r="J29" s="4">
        <v>43907</v>
      </c>
      <c r="K29" s="4">
        <v>43907</v>
      </c>
      <c r="L29" s="5">
        <v>0.375</v>
      </c>
      <c r="M29" s="5">
        <v>0.46875</v>
      </c>
      <c r="N29">
        <v>55.5351</v>
      </c>
      <c r="O29">
        <v>13.95862</v>
      </c>
      <c r="P29">
        <v>434276</v>
      </c>
      <c r="Q29">
        <v>6154832</v>
      </c>
      <c r="R29" t="s">
        <v>490</v>
      </c>
      <c r="S29">
        <v>400</v>
      </c>
      <c r="T29" t="s">
        <v>563</v>
      </c>
      <c r="U29" t="s">
        <v>508</v>
      </c>
      <c r="V29" t="s">
        <v>504</v>
      </c>
      <c r="W29" t="s">
        <v>494</v>
      </c>
      <c r="X29" t="s">
        <v>494</v>
      </c>
      <c r="Y29" t="s">
        <v>536</v>
      </c>
      <c r="Z29">
        <v>2</v>
      </c>
      <c r="AA29">
        <v>2</v>
      </c>
      <c r="AD29" t="s">
        <v>527</v>
      </c>
      <c r="AE29" t="s">
        <v>538</v>
      </c>
      <c r="AF29" t="s">
        <v>496</v>
      </c>
      <c r="AG29" t="b">
        <v>0</v>
      </c>
      <c r="AH29" t="b">
        <v>0</v>
      </c>
      <c r="AI29" t="b">
        <v>0</v>
      </c>
      <c r="AK29" t="s">
        <v>497</v>
      </c>
      <c r="AL29" t="b">
        <v>0</v>
      </c>
      <c r="AM29" t="b">
        <v>0</v>
      </c>
    </row>
    <row r="30" spans="1:39">
      <c r="A30" t="s">
        <v>564</v>
      </c>
      <c r="B30" t="b">
        <v>1</v>
      </c>
      <c r="C30">
        <v>100012</v>
      </c>
      <c r="D30" t="s">
        <v>239</v>
      </c>
      <c r="E30" t="s">
        <v>240</v>
      </c>
      <c r="F30" t="s">
        <v>488</v>
      </c>
      <c r="G30" t="s">
        <v>489</v>
      </c>
      <c r="H30" t="s">
        <v>46</v>
      </c>
      <c r="I30">
        <v>1</v>
      </c>
      <c r="J30" s="4">
        <v>43972</v>
      </c>
      <c r="K30" s="4">
        <v>43972</v>
      </c>
      <c r="L30" s="5">
        <v>0.77083333333333337</v>
      </c>
      <c r="M30" s="5">
        <v>0.8125</v>
      </c>
      <c r="N30">
        <v>55.530740000000002</v>
      </c>
      <c r="O30">
        <v>13.879630000000001</v>
      </c>
      <c r="P30">
        <v>429282</v>
      </c>
      <c r="Q30">
        <v>6154424</v>
      </c>
      <c r="R30" t="s">
        <v>490</v>
      </c>
      <c r="S30">
        <v>310</v>
      </c>
      <c r="T30" t="s">
        <v>499</v>
      </c>
      <c r="U30" t="s">
        <v>492</v>
      </c>
      <c r="V30" t="s">
        <v>493</v>
      </c>
      <c r="W30" t="s">
        <v>494</v>
      </c>
      <c r="X30" t="s">
        <v>494</v>
      </c>
      <c r="Y30" t="s">
        <v>565</v>
      </c>
      <c r="Z30">
        <v>3</v>
      </c>
      <c r="AA30">
        <v>3</v>
      </c>
      <c r="AE30" t="s">
        <v>538</v>
      </c>
      <c r="AF30" t="s">
        <v>496</v>
      </c>
      <c r="AG30" t="b">
        <v>0</v>
      </c>
      <c r="AH30" t="b">
        <v>0</v>
      </c>
      <c r="AI30" t="b">
        <v>0</v>
      </c>
      <c r="AK30" t="s">
        <v>497</v>
      </c>
      <c r="AL30" t="b">
        <v>0</v>
      </c>
      <c r="AM30" t="b">
        <v>0</v>
      </c>
    </row>
    <row r="31" spans="1:39">
      <c r="A31" t="s">
        <v>566</v>
      </c>
      <c r="B31" t="b">
        <v>1</v>
      </c>
      <c r="C31">
        <v>103001</v>
      </c>
      <c r="D31" t="s">
        <v>372</v>
      </c>
      <c r="E31" t="s">
        <v>373</v>
      </c>
      <c r="F31" t="s">
        <v>488</v>
      </c>
      <c r="G31" t="s">
        <v>489</v>
      </c>
      <c r="H31" t="s">
        <v>41</v>
      </c>
      <c r="I31">
        <v>1</v>
      </c>
      <c r="J31" s="4">
        <v>44322</v>
      </c>
      <c r="K31" s="4">
        <v>44322</v>
      </c>
      <c r="L31" s="5">
        <v>0.375</v>
      </c>
      <c r="M31" s="5">
        <v>0.45833333333333331</v>
      </c>
      <c r="N31">
        <v>55.5351</v>
      </c>
      <c r="O31">
        <v>13.95862</v>
      </c>
      <c r="P31">
        <v>434276</v>
      </c>
      <c r="Q31">
        <v>6154832</v>
      </c>
      <c r="R31" t="s">
        <v>490</v>
      </c>
      <c r="S31">
        <v>400</v>
      </c>
      <c r="T31" t="s">
        <v>563</v>
      </c>
      <c r="U31" t="s">
        <v>508</v>
      </c>
      <c r="V31" t="s">
        <v>504</v>
      </c>
      <c r="W31" t="s">
        <v>494</v>
      </c>
      <c r="X31" t="s">
        <v>494</v>
      </c>
      <c r="Y31" t="s">
        <v>536</v>
      </c>
      <c r="Z31">
        <v>1</v>
      </c>
      <c r="AA31">
        <v>1</v>
      </c>
      <c r="AE31" t="s">
        <v>42</v>
      </c>
      <c r="AF31" t="s">
        <v>496</v>
      </c>
      <c r="AG31" t="b">
        <v>0</v>
      </c>
      <c r="AH31" t="b">
        <v>0</v>
      </c>
      <c r="AI31" t="b">
        <v>0</v>
      </c>
      <c r="AK31" t="s">
        <v>497</v>
      </c>
      <c r="AL31" t="b">
        <v>0</v>
      </c>
      <c r="AM31" t="b">
        <v>0</v>
      </c>
    </row>
    <row r="32" spans="1:39">
      <c r="A32" t="s">
        <v>567</v>
      </c>
      <c r="B32" t="b">
        <v>1</v>
      </c>
      <c r="C32">
        <v>100049</v>
      </c>
      <c r="D32" t="s">
        <v>295</v>
      </c>
      <c r="E32" t="s">
        <v>296</v>
      </c>
      <c r="F32" t="s">
        <v>488</v>
      </c>
      <c r="G32" t="s">
        <v>489</v>
      </c>
      <c r="H32" t="s">
        <v>46</v>
      </c>
      <c r="I32">
        <v>1</v>
      </c>
      <c r="J32" s="4">
        <v>44342</v>
      </c>
      <c r="K32" s="4">
        <v>44342</v>
      </c>
      <c r="L32" s="5">
        <v>0.4375</v>
      </c>
      <c r="M32" s="5">
        <v>0.4513888888888889</v>
      </c>
      <c r="N32">
        <v>55.530740000000002</v>
      </c>
      <c r="O32">
        <v>13.879630000000001</v>
      </c>
      <c r="P32">
        <v>429282</v>
      </c>
      <c r="Q32">
        <v>6154424</v>
      </c>
      <c r="R32" t="s">
        <v>490</v>
      </c>
      <c r="S32">
        <v>310</v>
      </c>
      <c r="T32" t="s">
        <v>499</v>
      </c>
      <c r="U32" t="s">
        <v>492</v>
      </c>
      <c r="V32" t="s">
        <v>493</v>
      </c>
      <c r="W32" t="s">
        <v>494</v>
      </c>
      <c r="X32" t="s">
        <v>494</v>
      </c>
      <c r="Y32" t="s">
        <v>568</v>
      </c>
      <c r="Z32">
        <v>1</v>
      </c>
      <c r="AA32">
        <v>1</v>
      </c>
      <c r="AE32" t="s">
        <v>42</v>
      </c>
      <c r="AF32" t="s">
        <v>496</v>
      </c>
      <c r="AG32" t="b">
        <v>0</v>
      </c>
      <c r="AH32" t="b">
        <v>0</v>
      </c>
      <c r="AI32" t="b">
        <v>0</v>
      </c>
      <c r="AK32" t="s">
        <v>497</v>
      </c>
      <c r="AL32" t="b">
        <v>0</v>
      </c>
      <c r="AM32" t="b">
        <v>0</v>
      </c>
    </row>
    <row r="33" spans="1:39">
      <c r="A33" t="s">
        <v>569</v>
      </c>
      <c r="B33" t="b">
        <v>1</v>
      </c>
      <c r="C33">
        <v>102993</v>
      </c>
      <c r="D33" t="s">
        <v>384</v>
      </c>
      <c r="E33" t="s">
        <v>385</v>
      </c>
      <c r="F33" t="s">
        <v>488</v>
      </c>
      <c r="G33" t="s">
        <v>489</v>
      </c>
      <c r="H33" t="s">
        <v>85</v>
      </c>
      <c r="I33">
        <v>1</v>
      </c>
      <c r="J33" s="4">
        <v>45821</v>
      </c>
      <c r="K33" s="4">
        <v>45821</v>
      </c>
      <c r="L33" s="5">
        <v>0.5625</v>
      </c>
      <c r="M33" s="5">
        <v>0.57291666666666663</v>
      </c>
      <c r="N33">
        <v>55.54806</v>
      </c>
      <c r="O33">
        <v>13.949949999999999</v>
      </c>
      <c r="P33">
        <v>433750</v>
      </c>
      <c r="Q33">
        <v>6156283</v>
      </c>
      <c r="R33" t="s">
        <v>490</v>
      </c>
      <c r="S33">
        <v>50</v>
      </c>
      <c r="T33" t="s">
        <v>570</v>
      </c>
      <c r="U33" t="s">
        <v>508</v>
      </c>
      <c r="V33" t="s">
        <v>504</v>
      </c>
      <c r="W33" t="s">
        <v>494</v>
      </c>
      <c r="X33" t="s">
        <v>494</v>
      </c>
      <c r="Y33" t="s">
        <v>536</v>
      </c>
      <c r="Z33">
        <v>1</v>
      </c>
      <c r="AA33">
        <v>1</v>
      </c>
      <c r="AE33" t="s">
        <v>538</v>
      </c>
      <c r="AF33" t="s">
        <v>496</v>
      </c>
      <c r="AG33" t="b">
        <v>0</v>
      </c>
      <c r="AH33" t="b">
        <v>0</v>
      </c>
      <c r="AI33" t="b">
        <v>0</v>
      </c>
      <c r="AK33" t="s">
        <v>497</v>
      </c>
      <c r="AL33" t="b">
        <v>0</v>
      </c>
      <c r="AM33" t="b">
        <v>0</v>
      </c>
    </row>
    <row r="34" spans="1:39">
      <c r="A34" t="s">
        <v>571</v>
      </c>
      <c r="B34" t="b">
        <v>1</v>
      </c>
      <c r="C34">
        <v>100048</v>
      </c>
      <c r="D34" t="s">
        <v>304</v>
      </c>
      <c r="E34" t="s">
        <v>305</v>
      </c>
      <c r="F34" t="s">
        <v>488</v>
      </c>
      <c r="G34" t="s">
        <v>489</v>
      </c>
      <c r="H34" t="s">
        <v>41</v>
      </c>
      <c r="I34">
        <v>1</v>
      </c>
      <c r="J34" s="4">
        <v>45856</v>
      </c>
      <c r="K34" s="4">
        <v>45856</v>
      </c>
      <c r="L34" s="5">
        <v>0.38194444444444442</v>
      </c>
      <c r="M34" s="5">
        <v>0.38194444444444442</v>
      </c>
      <c r="N34">
        <v>55.54081</v>
      </c>
      <c r="O34">
        <v>13.95609</v>
      </c>
      <c r="P34">
        <v>434125</v>
      </c>
      <c r="Q34">
        <v>6155470</v>
      </c>
      <c r="R34" t="s">
        <v>490</v>
      </c>
      <c r="S34">
        <v>1500</v>
      </c>
      <c r="T34" t="s">
        <v>507</v>
      </c>
      <c r="U34" t="s">
        <v>508</v>
      </c>
      <c r="V34" t="s">
        <v>504</v>
      </c>
      <c r="W34" t="s">
        <v>494</v>
      </c>
      <c r="X34" t="s">
        <v>494</v>
      </c>
      <c r="Y34" t="s">
        <v>572</v>
      </c>
      <c r="Z34">
        <v>1</v>
      </c>
      <c r="AA34">
        <v>1</v>
      </c>
      <c r="AE34" t="s">
        <v>42</v>
      </c>
      <c r="AF34" t="s">
        <v>496</v>
      </c>
      <c r="AG34" t="b">
        <v>0</v>
      </c>
      <c r="AH34" t="b">
        <v>0</v>
      </c>
      <c r="AI34" t="b">
        <v>0</v>
      </c>
      <c r="AK34" t="s">
        <v>497</v>
      </c>
      <c r="AL34" t="b">
        <v>0</v>
      </c>
      <c r="AM34" t="b">
        <v>0</v>
      </c>
    </row>
    <row r="35" spans="1:39">
      <c r="A35" t="s">
        <v>573</v>
      </c>
      <c r="B35" t="b">
        <v>1</v>
      </c>
      <c r="C35">
        <v>102990</v>
      </c>
      <c r="D35" t="s">
        <v>39</v>
      </c>
      <c r="E35" t="s">
        <v>40</v>
      </c>
      <c r="F35" t="s">
        <v>488</v>
      </c>
      <c r="G35" t="s">
        <v>489</v>
      </c>
      <c r="H35" t="s">
        <v>41</v>
      </c>
      <c r="I35">
        <v>1</v>
      </c>
      <c r="J35" s="4">
        <v>45763</v>
      </c>
      <c r="K35" s="4">
        <v>45763</v>
      </c>
      <c r="L35" s="5">
        <v>0.375</v>
      </c>
      <c r="M35" s="5">
        <v>0.54166666666666663</v>
      </c>
      <c r="N35">
        <v>55.54081</v>
      </c>
      <c r="O35">
        <v>13.95609</v>
      </c>
      <c r="P35">
        <v>434125</v>
      </c>
      <c r="Q35">
        <v>6155470</v>
      </c>
      <c r="R35" t="s">
        <v>490</v>
      </c>
      <c r="S35">
        <v>1500</v>
      </c>
      <c r="T35" t="s">
        <v>507</v>
      </c>
      <c r="U35" t="s">
        <v>508</v>
      </c>
      <c r="V35" t="s">
        <v>504</v>
      </c>
      <c r="W35" t="s">
        <v>494</v>
      </c>
      <c r="X35" t="s">
        <v>494</v>
      </c>
      <c r="Y35" t="s">
        <v>526</v>
      </c>
      <c r="Z35">
        <v>1</v>
      </c>
      <c r="AA35">
        <v>1</v>
      </c>
      <c r="AE35" t="s">
        <v>42</v>
      </c>
      <c r="AF35" t="s">
        <v>496</v>
      </c>
      <c r="AG35" t="b">
        <v>0</v>
      </c>
      <c r="AH35" t="b">
        <v>0</v>
      </c>
      <c r="AI35" t="b">
        <v>0</v>
      </c>
      <c r="AK35" t="s">
        <v>497</v>
      </c>
      <c r="AL35" t="b">
        <v>0</v>
      </c>
      <c r="AM35" t="b">
        <v>0</v>
      </c>
    </row>
    <row r="36" spans="1:39">
      <c r="A36" t="s">
        <v>574</v>
      </c>
      <c r="B36" t="b">
        <v>1</v>
      </c>
      <c r="C36">
        <v>103055</v>
      </c>
      <c r="D36" t="s">
        <v>413</v>
      </c>
      <c r="E36" t="s">
        <v>414</v>
      </c>
      <c r="F36" t="s">
        <v>488</v>
      </c>
      <c r="G36" t="s">
        <v>489</v>
      </c>
      <c r="H36" t="s">
        <v>41</v>
      </c>
      <c r="I36">
        <v>1</v>
      </c>
      <c r="J36" s="4">
        <v>45850</v>
      </c>
      <c r="K36" s="4">
        <v>45850</v>
      </c>
      <c r="N36">
        <v>55.555990000000001</v>
      </c>
      <c r="O36">
        <v>13.8973</v>
      </c>
      <c r="P36">
        <v>430442</v>
      </c>
      <c r="Q36">
        <v>6157216</v>
      </c>
      <c r="R36" t="s">
        <v>490</v>
      </c>
      <c r="S36">
        <v>400</v>
      </c>
      <c r="T36" t="s">
        <v>575</v>
      </c>
      <c r="U36" t="s">
        <v>532</v>
      </c>
      <c r="V36" t="s">
        <v>504</v>
      </c>
      <c r="W36" t="s">
        <v>494</v>
      </c>
      <c r="X36" t="s">
        <v>494</v>
      </c>
      <c r="Y36" t="s">
        <v>526</v>
      </c>
      <c r="Z36">
        <v>1</v>
      </c>
      <c r="AA36">
        <v>1</v>
      </c>
      <c r="AE36" t="s">
        <v>42</v>
      </c>
      <c r="AF36" t="s">
        <v>496</v>
      </c>
      <c r="AG36" t="b">
        <v>0</v>
      </c>
      <c r="AH36" t="b">
        <v>0</v>
      </c>
      <c r="AI36" t="b">
        <v>0</v>
      </c>
      <c r="AK36" t="s">
        <v>497</v>
      </c>
      <c r="AL36" t="b">
        <v>0</v>
      </c>
      <c r="AM36" t="b">
        <v>0</v>
      </c>
    </row>
    <row r="37" spans="1:39">
      <c r="A37" t="s">
        <v>576</v>
      </c>
      <c r="B37" t="b">
        <v>1</v>
      </c>
      <c r="C37">
        <v>102990</v>
      </c>
      <c r="D37" t="s">
        <v>39</v>
      </c>
      <c r="E37" t="s">
        <v>40</v>
      </c>
      <c r="F37" t="s">
        <v>488</v>
      </c>
      <c r="G37" t="s">
        <v>489</v>
      </c>
      <c r="H37" t="s">
        <v>41</v>
      </c>
      <c r="I37">
        <v>1</v>
      </c>
      <c r="J37" s="4">
        <v>38471</v>
      </c>
      <c r="K37" s="4">
        <v>38471</v>
      </c>
      <c r="L37" s="5">
        <v>0.58333333333333337</v>
      </c>
      <c r="M37" s="5">
        <v>0.58333333333333337</v>
      </c>
      <c r="N37">
        <v>55.54081</v>
      </c>
      <c r="O37">
        <v>13.95609</v>
      </c>
      <c r="P37">
        <v>434125</v>
      </c>
      <c r="Q37">
        <v>6155470</v>
      </c>
      <c r="R37" t="s">
        <v>490</v>
      </c>
      <c r="S37">
        <v>1500</v>
      </c>
      <c r="T37" t="s">
        <v>507</v>
      </c>
      <c r="U37" t="s">
        <v>508</v>
      </c>
      <c r="V37" t="s">
        <v>504</v>
      </c>
      <c r="W37" t="s">
        <v>494</v>
      </c>
      <c r="X37" t="s">
        <v>494</v>
      </c>
      <c r="Y37" t="s">
        <v>526</v>
      </c>
      <c r="Z37">
        <v>2</v>
      </c>
      <c r="AA37">
        <v>2</v>
      </c>
      <c r="AE37" t="s">
        <v>42</v>
      </c>
      <c r="AF37" t="s">
        <v>496</v>
      </c>
      <c r="AG37" t="b">
        <v>0</v>
      </c>
      <c r="AH37" t="b">
        <v>0</v>
      </c>
      <c r="AI37" t="b">
        <v>0</v>
      </c>
      <c r="AK37" t="s">
        <v>497</v>
      </c>
      <c r="AL37" t="b">
        <v>0</v>
      </c>
      <c r="AM37" t="b">
        <v>0</v>
      </c>
    </row>
    <row r="38" spans="1:39">
      <c r="A38" t="s">
        <v>577</v>
      </c>
      <c r="B38" t="b">
        <v>1</v>
      </c>
      <c r="C38">
        <v>100049</v>
      </c>
      <c r="D38" t="s">
        <v>295</v>
      </c>
      <c r="E38" t="s">
        <v>296</v>
      </c>
      <c r="F38" t="s">
        <v>488</v>
      </c>
      <c r="G38" t="s">
        <v>489</v>
      </c>
      <c r="H38" t="s">
        <v>46</v>
      </c>
      <c r="I38">
        <v>1</v>
      </c>
      <c r="J38" s="4">
        <v>42879</v>
      </c>
      <c r="K38" s="4">
        <v>42879</v>
      </c>
      <c r="L38" s="5">
        <v>0.6875</v>
      </c>
      <c r="M38" s="5">
        <v>0.75</v>
      </c>
      <c r="N38">
        <v>55.527650000000001</v>
      </c>
      <c r="O38">
        <v>13.900119999999999</v>
      </c>
      <c r="P38">
        <v>430570</v>
      </c>
      <c r="Q38">
        <v>6154060</v>
      </c>
      <c r="R38" t="s">
        <v>490</v>
      </c>
      <c r="S38">
        <v>250</v>
      </c>
      <c r="T38" t="s">
        <v>578</v>
      </c>
      <c r="U38" t="s">
        <v>525</v>
      </c>
      <c r="V38" t="s">
        <v>504</v>
      </c>
      <c r="W38" t="s">
        <v>494</v>
      </c>
      <c r="X38" t="s">
        <v>494</v>
      </c>
      <c r="Y38" t="s">
        <v>579</v>
      </c>
      <c r="Z38">
        <v>1</v>
      </c>
      <c r="AA38">
        <v>1</v>
      </c>
      <c r="AE38" t="s">
        <v>538</v>
      </c>
      <c r="AF38" t="s">
        <v>496</v>
      </c>
      <c r="AG38" t="b">
        <v>0</v>
      </c>
      <c r="AH38" t="b">
        <v>0</v>
      </c>
      <c r="AI38" t="b">
        <v>0</v>
      </c>
      <c r="AK38" t="s">
        <v>497</v>
      </c>
      <c r="AL38" t="b">
        <v>0</v>
      </c>
      <c r="AM38" t="b">
        <v>0</v>
      </c>
    </row>
    <row r="39" spans="1:39">
      <c r="A39" t="s">
        <v>580</v>
      </c>
      <c r="B39" t="b">
        <v>1</v>
      </c>
      <c r="C39">
        <v>103012</v>
      </c>
      <c r="D39" t="s">
        <v>358</v>
      </c>
      <c r="E39" t="s">
        <v>359</v>
      </c>
      <c r="F39" t="s">
        <v>488</v>
      </c>
      <c r="G39" t="s">
        <v>489</v>
      </c>
      <c r="H39" t="s">
        <v>41</v>
      </c>
      <c r="I39">
        <v>1</v>
      </c>
      <c r="J39" s="4">
        <v>41035</v>
      </c>
      <c r="K39" s="4">
        <v>41035</v>
      </c>
      <c r="L39" s="5">
        <v>0.25</v>
      </c>
      <c r="M39" s="5">
        <v>0.29166666666666669</v>
      </c>
      <c r="N39">
        <v>55.525739999999999</v>
      </c>
      <c r="O39">
        <v>13.93807</v>
      </c>
      <c r="P39">
        <v>432962</v>
      </c>
      <c r="Q39">
        <v>6153810</v>
      </c>
      <c r="R39" t="s">
        <v>490</v>
      </c>
      <c r="S39">
        <v>1981</v>
      </c>
      <c r="T39" t="s">
        <v>524</v>
      </c>
      <c r="U39" t="s">
        <v>525</v>
      </c>
      <c r="V39" t="s">
        <v>504</v>
      </c>
      <c r="W39" t="s">
        <v>494</v>
      </c>
      <c r="X39" t="s">
        <v>494</v>
      </c>
      <c r="Y39" t="s">
        <v>581</v>
      </c>
      <c r="Z39">
        <v>2</v>
      </c>
      <c r="AA39">
        <v>2</v>
      </c>
      <c r="AE39" t="s">
        <v>42</v>
      </c>
      <c r="AF39" t="s">
        <v>496</v>
      </c>
      <c r="AG39" t="b">
        <v>0</v>
      </c>
      <c r="AH39" t="b">
        <v>0</v>
      </c>
      <c r="AI39" t="b">
        <v>0</v>
      </c>
      <c r="AK39" t="s">
        <v>497</v>
      </c>
      <c r="AL39" t="b">
        <v>0</v>
      </c>
      <c r="AM39" t="b">
        <v>0</v>
      </c>
    </row>
    <row r="40" spans="1:39">
      <c r="A40" t="s">
        <v>582</v>
      </c>
      <c r="B40" t="b">
        <v>1</v>
      </c>
      <c r="C40">
        <v>102987</v>
      </c>
      <c r="D40" t="s">
        <v>388</v>
      </c>
      <c r="E40" t="s">
        <v>389</v>
      </c>
      <c r="F40" t="s">
        <v>488</v>
      </c>
      <c r="G40" t="s">
        <v>489</v>
      </c>
      <c r="H40" t="s">
        <v>41</v>
      </c>
      <c r="I40">
        <v>1</v>
      </c>
      <c r="J40" s="4">
        <v>39229</v>
      </c>
      <c r="K40" s="4">
        <v>39229</v>
      </c>
      <c r="L40" s="5">
        <v>0.35416666666666669</v>
      </c>
      <c r="M40" s="5">
        <v>0.38541666666666669</v>
      </c>
      <c r="N40">
        <v>55.525739999999999</v>
      </c>
      <c r="O40">
        <v>13.93807</v>
      </c>
      <c r="P40">
        <v>432962</v>
      </c>
      <c r="Q40">
        <v>6153810</v>
      </c>
      <c r="R40" t="s">
        <v>490</v>
      </c>
      <c r="S40">
        <v>1981</v>
      </c>
      <c r="T40" t="s">
        <v>524</v>
      </c>
      <c r="U40" t="s">
        <v>525</v>
      </c>
      <c r="V40" t="s">
        <v>504</v>
      </c>
      <c r="W40" t="s">
        <v>494</v>
      </c>
      <c r="X40" t="s">
        <v>494</v>
      </c>
      <c r="Y40" t="s">
        <v>526</v>
      </c>
      <c r="Z40">
        <v>1</v>
      </c>
      <c r="AA40">
        <v>1</v>
      </c>
      <c r="AD40" t="s">
        <v>510</v>
      </c>
      <c r="AE40" t="s">
        <v>431</v>
      </c>
      <c r="AF40" t="s">
        <v>496</v>
      </c>
      <c r="AG40" t="b">
        <v>0</v>
      </c>
      <c r="AH40" t="b">
        <v>0</v>
      </c>
      <c r="AI40" t="b">
        <v>0</v>
      </c>
      <c r="AK40" t="s">
        <v>497</v>
      </c>
      <c r="AL40" t="b">
        <v>0</v>
      </c>
      <c r="AM40" t="b">
        <v>0</v>
      </c>
    </row>
    <row r="41" spans="1:39">
      <c r="A41" t="s">
        <v>583</v>
      </c>
      <c r="B41" t="b">
        <v>1</v>
      </c>
      <c r="C41">
        <v>102990</v>
      </c>
      <c r="D41" t="s">
        <v>39</v>
      </c>
      <c r="E41" t="s">
        <v>40</v>
      </c>
      <c r="F41" t="s">
        <v>488</v>
      </c>
      <c r="G41" t="s">
        <v>489</v>
      </c>
      <c r="H41" t="s">
        <v>41</v>
      </c>
      <c r="I41">
        <v>1</v>
      </c>
      <c r="J41" s="4">
        <v>39231</v>
      </c>
      <c r="K41" s="4">
        <v>39231</v>
      </c>
      <c r="L41" s="5">
        <v>0.64930555555555558</v>
      </c>
      <c r="M41" s="5">
        <v>0.6875</v>
      </c>
      <c r="N41">
        <v>55.555309999999999</v>
      </c>
      <c r="O41">
        <v>13.8569</v>
      </c>
      <c r="P41">
        <v>427893</v>
      </c>
      <c r="Q41">
        <v>6157182</v>
      </c>
      <c r="R41" t="s">
        <v>490</v>
      </c>
      <c r="S41">
        <v>140</v>
      </c>
      <c r="T41" t="s">
        <v>491</v>
      </c>
      <c r="U41" t="s">
        <v>492</v>
      </c>
      <c r="V41" t="s">
        <v>493</v>
      </c>
      <c r="W41" t="s">
        <v>494</v>
      </c>
      <c r="X41" t="s">
        <v>494</v>
      </c>
      <c r="Y41" t="s">
        <v>584</v>
      </c>
      <c r="Z41">
        <v>1</v>
      </c>
      <c r="AA41">
        <v>1</v>
      </c>
      <c r="AC41" t="s">
        <v>512</v>
      </c>
      <c r="AD41" t="s">
        <v>510</v>
      </c>
      <c r="AE41" t="s">
        <v>42</v>
      </c>
      <c r="AF41" t="s">
        <v>496</v>
      </c>
      <c r="AG41" t="b">
        <v>0</v>
      </c>
      <c r="AH41" t="b">
        <v>0</v>
      </c>
      <c r="AI41" t="b">
        <v>0</v>
      </c>
      <c r="AK41" t="s">
        <v>497</v>
      </c>
      <c r="AL41" t="b">
        <v>0</v>
      </c>
      <c r="AM41" t="b">
        <v>0</v>
      </c>
    </row>
    <row r="42" spans="1:39">
      <c r="A42" t="s">
        <v>585</v>
      </c>
      <c r="B42" t="b">
        <v>1</v>
      </c>
      <c r="C42">
        <v>103055</v>
      </c>
      <c r="D42" t="s">
        <v>413</v>
      </c>
      <c r="E42" t="s">
        <v>414</v>
      </c>
      <c r="F42" t="s">
        <v>488</v>
      </c>
      <c r="G42" t="s">
        <v>489</v>
      </c>
      <c r="H42" t="s">
        <v>41</v>
      </c>
      <c r="I42">
        <v>1</v>
      </c>
      <c r="J42" s="4">
        <v>39625</v>
      </c>
      <c r="K42" s="4">
        <v>39625</v>
      </c>
      <c r="L42" s="5">
        <v>0.5</v>
      </c>
      <c r="M42" s="5">
        <v>0.5625</v>
      </c>
      <c r="N42">
        <v>55.547759999999997</v>
      </c>
      <c r="O42">
        <v>13.86754</v>
      </c>
      <c r="P42">
        <v>428550</v>
      </c>
      <c r="Q42">
        <v>6156331</v>
      </c>
      <c r="R42" t="s">
        <v>490</v>
      </c>
      <c r="S42">
        <v>627</v>
      </c>
      <c r="T42" t="s">
        <v>541</v>
      </c>
      <c r="U42" t="s">
        <v>525</v>
      </c>
      <c r="V42" t="s">
        <v>504</v>
      </c>
      <c r="W42" t="s">
        <v>494</v>
      </c>
      <c r="X42" t="s">
        <v>494</v>
      </c>
      <c r="Y42" t="s">
        <v>586</v>
      </c>
      <c r="Z42">
        <v>1</v>
      </c>
      <c r="AA42">
        <v>1</v>
      </c>
      <c r="AE42" t="s">
        <v>42</v>
      </c>
      <c r="AF42" t="s">
        <v>496</v>
      </c>
      <c r="AG42" t="b">
        <v>0</v>
      </c>
      <c r="AH42" t="b">
        <v>0</v>
      </c>
      <c r="AI42" t="b">
        <v>0</v>
      </c>
      <c r="AK42" t="s">
        <v>497</v>
      </c>
      <c r="AL42" t="b">
        <v>0</v>
      </c>
      <c r="AM42" t="b">
        <v>0</v>
      </c>
    </row>
    <row r="43" spans="1:39">
      <c r="A43" t="s">
        <v>587</v>
      </c>
      <c r="B43" t="b">
        <v>1</v>
      </c>
      <c r="C43">
        <v>103055</v>
      </c>
      <c r="D43" t="s">
        <v>413</v>
      </c>
      <c r="E43" t="s">
        <v>414</v>
      </c>
      <c r="F43" t="s">
        <v>488</v>
      </c>
      <c r="G43" t="s">
        <v>489</v>
      </c>
      <c r="H43" t="s">
        <v>41</v>
      </c>
      <c r="I43">
        <v>1</v>
      </c>
      <c r="J43" s="4">
        <v>39579</v>
      </c>
      <c r="K43" s="4">
        <v>39579</v>
      </c>
      <c r="L43" s="5">
        <v>0.34027777777777779</v>
      </c>
      <c r="M43" s="5">
        <v>0.4236111111111111</v>
      </c>
      <c r="N43">
        <v>55.527650000000001</v>
      </c>
      <c r="O43">
        <v>13.900119999999999</v>
      </c>
      <c r="P43">
        <v>430570</v>
      </c>
      <c r="Q43">
        <v>6154060</v>
      </c>
      <c r="R43" t="s">
        <v>490</v>
      </c>
      <c r="S43">
        <v>250</v>
      </c>
      <c r="T43" t="s">
        <v>578</v>
      </c>
      <c r="U43" t="s">
        <v>525</v>
      </c>
      <c r="V43" t="s">
        <v>504</v>
      </c>
      <c r="W43" t="s">
        <v>494</v>
      </c>
      <c r="X43" t="s">
        <v>494</v>
      </c>
      <c r="Y43" t="s">
        <v>588</v>
      </c>
      <c r="Z43">
        <v>2</v>
      </c>
      <c r="AA43">
        <v>2</v>
      </c>
      <c r="AE43" t="s">
        <v>42</v>
      </c>
      <c r="AF43" t="s">
        <v>496</v>
      </c>
      <c r="AG43" t="b">
        <v>0</v>
      </c>
      <c r="AH43" t="b">
        <v>0</v>
      </c>
      <c r="AI43" t="b">
        <v>0</v>
      </c>
      <c r="AK43" t="s">
        <v>497</v>
      </c>
      <c r="AL43" t="b">
        <v>0</v>
      </c>
      <c r="AM43" t="b">
        <v>0</v>
      </c>
    </row>
    <row r="44" spans="1:39">
      <c r="A44" t="s">
        <v>589</v>
      </c>
      <c r="B44" t="b">
        <v>1</v>
      </c>
      <c r="C44">
        <v>103055</v>
      </c>
      <c r="D44" t="s">
        <v>413</v>
      </c>
      <c r="E44" t="s">
        <v>414</v>
      </c>
      <c r="F44" t="s">
        <v>488</v>
      </c>
      <c r="G44" t="s">
        <v>489</v>
      </c>
      <c r="H44" t="s">
        <v>41</v>
      </c>
      <c r="I44">
        <v>1</v>
      </c>
      <c r="J44" s="4">
        <v>42204</v>
      </c>
      <c r="K44" s="4">
        <v>42204</v>
      </c>
      <c r="N44">
        <v>55.527650000000001</v>
      </c>
      <c r="O44">
        <v>13.900119999999999</v>
      </c>
      <c r="P44">
        <v>430570</v>
      </c>
      <c r="Q44">
        <v>6154060</v>
      </c>
      <c r="R44" t="s">
        <v>490</v>
      </c>
      <c r="S44">
        <v>250</v>
      </c>
      <c r="T44" t="s">
        <v>578</v>
      </c>
      <c r="U44" t="s">
        <v>525</v>
      </c>
      <c r="V44" t="s">
        <v>504</v>
      </c>
      <c r="W44" t="s">
        <v>494</v>
      </c>
      <c r="X44" t="s">
        <v>494</v>
      </c>
      <c r="Y44" t="s">
        <v>536</v>
      </c>
      <c r="AE44" t="s">
        <v>42</v>
      </c>
      <c r="AF44" t="s">
        <v>496</v>
      </c>
      <c r="AG44" t="b">
        <v>0</v>
      </c>
      <c r="AH44" t="b">
        <v>0</v>
      </c>
      <c r="AI44" t="b">
        <v>0</v>
      </c>
      <c r="AK44" t="s">
        <v>497</v>
      </c>
      <c r="AL44" t="b">
        <v>0</v>
      </c>
      <c r="AM44" t="b">
        <v>0</v>
      </c>
    </row>
    <row r="45" spans="1:39">
      <c r="A45" t="s">
        <v>590</v>
      </c>
      <c r="B45" t="b">
        <v>1</v>
      </c>
      <c r="C45">
        <v>100049</v>
      </c>
      <c r="D45" t="s">
        <v>295</v>
      </c>
      <c r="E45" t="s">
        <v>296</v>
      </c>
      <c r="F45" t="s">
        <v>488</v>
      </c>
      <c r="G45" t="s">
        <v>489</v>
      </c>
      <c r="H45" t="s">
        <v>46</v>
      </c>
      <c r="I45">
        <v>1</v>
      </c>
      <c r="J45" s="4">
        <v>41378</v>
      </c>
      <c r="K45" s="4">
        <v>41378</v>
      </c>
      <c r="L45" s="5">
        <v>0</v>
      </c>
      <c r="M45" s="5">
        <v>0</v>
      </c>
      <c r="N45">
        <v>55.545990000000003</v>
      </c>
      <c r="O45">
        <v>13.87222</v>
      </c>
      <c r="P45">
        <v>428842</v>
      </c>
      <c r="Q45">
        <v>6156128</v>
      </c>
      <c r="R45" t="s">
        <v>490</v>
      </c>
      <c r="S45">
        <v>400</v>
      </c>
      <c r="T45" t="s">
        <v>591</v>
      </c>
      <c r="U45" t="s">
        <v>525</v>
      </c>
      <c r="V45" t="s">
        <v>504</v>
      </c>
      <c r="W45" t="s">
        <v>494</v>
      </c>
      <c r="X45" t="s">
        <v>494</v>
      </c>
      <c r="Y45" t="s">
        <v>581</v>
      </c>
      <c r="Z45">
        <v>2</v>
      </c>
      <c r="AA45">
        <v>2</v>
      </c>
      <c r="AE45" t="s">
        <v>42</v>
      </c>
      <c r="AF45" t="s">
        <v>496</v>
      </c>
      <c r="AG45" t="b">
        <v>0</v>
      </c>
      <c r="AH45" t="b">
        <v>0</v>
      </c>
      <c r="AI45" t="b">
        <v>0</v>
      </c>
      <c r="AK45" t="s">
        <v>497</v>
      </c>
      <c r="AL45" t="b">
        <v>0</v>
      </c>
      <c r="AM45" t="b">
        <v>0</v>
      </c>
    </row>
    <row r="46" spans="1:39">
      <c r="A46" t="s">
        <v>592</v>
      </c>
      <c r="B46" t="b">
        <v>1</v>
      </c>
      <c r="C46">
        <v>102993</v>
      </c>
      <c r="D46" t="s">
        <v>384</v>
      </c>
      <c r="E46" t="s">
        <v>385</v>
      </c>
      <c r="F46" t="s">
        <v>488</v>
      </c>
      <c r="G46" t="s">
        <v>489</v>
      </c>
      <c r="H46" t="s">
        <v>85</v>
      </c>
      <c r="I46">
        <v>1</v>
      </c>
      <c r="J46" s="4">
        <v>45791</v>
      </c>
      <c r="K46" s="4">
        <v>45791</v>
      </c>
      <c r="N46">
        <v>55.54081</v>
      </c>
      <c r="O46">
        <v>13.95609</v>
      </c>
      <c r="P46">
        <v>434125</v>
      </c>
      <c r="Q46">
        <v>6155470</v>
      </c>
      <c r="R46" t="s">
        <v>490</v>
      </c>
      <c r="S46">
        <v>1500</v>
      </c>
      <c r="T46" t="s">
        <v>507</v>
      </c>
      <c r="U46" t="s">
        <v>508</v>
      </c>
      <c r="V46" t="s">
        <v>504</v>
      </c>
      <c r="W46" t="s">
        <v>494</v>
      </c>
      <c r="X46" t="s">
        <v>494</v>
      </c>
      <c r="Y46" t="s">
        <v>593</v>
      </c>
      <c r="Z46">
        <v>1</v>
      </c>
      <c r="AA46">
        <v>1</v>
      </c>
      <c r="AD46" t="s">
        <v>510</v>
      </c>
      <c r="AE46" t="s">
        <v>42</v>
      </c>
      <c r="AF46" t="s">
        <v>496</v>
      </c>
      <c r="AG46" t="b">
        <v>0</v>
      </c>
      <c r="AH46" t="b">
        <v>0</v>
      </c>
      <c r="AI46" t="b">
        <v>0</v>
      </c>
      <c r="AK46" t="s">
        <v>497</v>
      </c>
      <c r="AL46" t="b">
        <v>0</v>
      </c>
      <c r="AM46" t="b">
        <v>0</v>
      </c>
    </row>
    <row r="47" spans="1:39">
      <c r="A47" t="s">
        <v>594</v>
      </c>
      <c r="B47" t="b">
        <v>1</v>
      </c>
      <c r="C47">
        <v>103055</v>
      </c>
      <c r="D47" t="s">
        <v>413</v>
      </c>
      <c r="E47" t="s">
        <v>414</v>
      </c>
      <c r="F47" t="s">
        <v>488</v>
      </c>
      <c r="G47" t="s">
        <v>489</v>
      </c>
      <c r="H47" t="s">
        <v>41</v>
      </c>
      <c r="I47">
        <v>1</v>
      </c>
      <c r="J47" s="4">
        <v>45735</v>
      </c>
      <c r="K47" s="4">
        <v>45735</v>
      </c>
      <c r="N47">
        <v>55.513120000000001</v>
      </c>
      <c r="O47">
        <v>13.923400000000001</v>
      </c>
      <c r="P47">
        <v>432015</v>
      </c>
      <c r="Q47">
        <v>6152420</v>
      </c>
      <c r="R47" t="s">
        <v>490</v>
      </c>
      <c r="S47">
        <v>50</v>
      </c>
      <c r="T47" t="s">
        <v>595</v>
      </c>
      <c r="U47" t="s">
        <v>503</v>
      </c>
      <c r="V47" t="s">
        <v>504</v>
      </c>
      <c r="W47" t="s">
        <v>494</v>
      </c>
      <c r="X47" t="s">
        <v>494</v>
      </c>
      <c r="Y47" t="s">
        <v>596</v>
      </c>
      <c r="Z47">
        <v>1</v>
      </c>
      <c r="AA47">
        <v>1</v>
      </c>
      <c r="AC47" t="s">
        <v>512</v>
      </c>
      <c r="AE47" t="s">
        <v>42</v>
      </c>
      <c r="AF47" t="s">
        <v>496</v>
      </c>
      <c r="AG47" t="b">
        <v>0</v>
      </c>
      <c r="AH47" t="b">
        <v>0</v>
      </c>
      <c r="AI47" t="b">
        <v>0</v>
      </c>
      <c r="AK47" t="s">
        <v>497</v>
      </c>
      <c r="AL47" t="b">
        <v>0</v>
      </c>
      <c r="AM47" t="b">
        <v>0</v>
      </c>
    </row>
    <row r="48" spans="1:39">
      <c r="A48" t="s">
        <v>597</v>
      </c>
      <c r="B48" t="b">
        <v>1</v>
      </c>
      <c r="C48">
        <v>102990</v>
      </c>
      <c r="D48" t="s">
        <v>39</v>
      </c>
      <c r="E48" t="s">
        <v>40</v>
      </c>
      <c r="F48" t="s">
        <v>488</v>
      </c>
      <c r="G48" t="s">
        <v>489</v>
      </c>
      <c r="H48" t="s">
        <v>41</v>
      </c>
      <c r="I48">
        <v>1</v>
      </c>
      <c r="J48" s="4">
        <v>45731</v>
      </c>
      <c r="K48" s="4">
        <v>45731</v>
      </c>
      <c r="L48" s="5">
        <v>0.36666666666666664</v>
      </c>
      <c r="M48" s="5">
        <v>0.43541666666666667</v>
      </c>
      <c r="N48">
        <v>55.530740000000002</v>
      </c>
      <c r="O48">
        <v>13.879630000000001</v>
      </c>
      <c r="P48">
        <v>429282</v>
      </c>
      <c r="Q48">
        <v>6154424</v>
      </c>
      <c r="R48" t="s">
        <v>490</v>
      </c>
      <c r="S48">
        <v>310</v>
      </c>
      <c r="T48" t="s">
        <v>499</v>
      </c>
      <c r="U48" t="s">
        <v>492</v>
      </c>
      <c r="V48" t="s">
        <v>493</v>
      </c>
      <c r="W48" t="s">
        <v>494</v>
      </c>
      <c r="X48" t="s">
        <v>494</v>
      </c>
      <c r="Y48" t="s">
        <v>598</v>
      </c>
      <c r="Z48">
        <v>1</v>
      </c>
      <c r="AA48">
        <v>1</v>
      </c>
      <c r="AE48" t="s">
        <v>42</v>
      </c>
      <c r="AF48" t="s">
        <v>496</v>
      </c>
      <c r="AG48" t="b">
        <v>0</v>
      </c>
      <c r="AH48" t="b">
        <v>0</v>
      </c>
      <c r="AI48" t="b">
        <v>0</v>
      </c>
      <c r="AK48" t="s">
        <v>497</v>
      </c>
      <c r="AL48" t="b">
        <v>0</v>
      </c>
      <c r="AM48" t="b">
        <v>0</v>
      </c>
    </row>
    <row r="49" spans="1:39">
      <c r="A49" t="s">
        <v>599</v>
      </c>
      <c r="B49" t="b">
        <v>1</v>
      </c>
      <c r="C49">
        <v>100043</v>
      </c>
      <c r="D49" t="s">
        <v>124</v>
      </c>
      <c r="E49" t="s">
        <v>125</v>
      </c>
      <c r="F49" t="s">
        <v>488</v>
      </c>
      <c r="G49" t="s">
        <v>489</v>
      </c>
      <c r="H49" t="s">
        <v>46</v>
      </c>
      <c r="I49">
        <v>1</v>
      </c>
      <c r="J49" s="4">
        <v>43327</v>
      </c>
      <c r="K49" s="4">
        <v>43327</v>
      </c>
      <c r="L49" s="5">
        <v>0.77083333333333337</v>
      </c>
      <c r="M49" s="5">
        <v>0.77083333333333337</v>
      </c>
      <c r="N49">
        <v>55.525750000000002</v>
      </c>
      <c r="O49">
        <v>13.88649</v>
      </c>
      <c r="P49">
        <v>429706</v>
      </c>
      <c r="Q49">
        <v>6153862</v>
      </c>
      <c r="R49" t="s">
        <v>490</v>
      </c>
      <c r="S49">
        <v>311</v>
      </c>
      <c r="T49" t="s">
        <v>515</v>
      </c>
      <c r="U49" t="s">
        <v>516</v>
      </c>
      <c r="V49" t="s">
        <v>493</v>
      </c>
      <c r="W49" t="s">
        <v>494</v>
      </c>
      <c r="X49" t="s">
        <v>494</v>
      </c>
      <c r="Y49" t="s">
        <v>600</v>
      </c>
      <c r="Z49">
        <v>1</v>
      </c>
      <c r="AA49">
        <v>1</v>
      </c>
      <c r="AE49" t="s">
        <v>42</v>
      </c>
      <c r="AF49" t="s">
        <v>601</v>
      </c>
      <c r="AG49" t="b">
        <v>0</v>
      </c>
      <c r="AH49" t="b">
        <v>0</v>
      </c>
      <c r="AI49" t="b">
        <v>0</v>
      </c>
      <c r="AK49" t="s">
        <v>497</v>
      </c>
      <c r="AL49" t="b">
        <v>0</v>
      </c>
      <c r="AM49" t="b">
        <v>0</v>
      </c>
    </row>
    <row r="50" spans="1:39">
      <c r="A50" t="s">
        <v>602</v>
      </c>
      <c r="B50" t="b">
        <v>1</v>
      </c>
      <c r="C50">
        <v>102958</v>
      </c>
      <c r="D50" t="s">
        <v>178</v>
      </c>
      <c r="E50" t="s">
        <v>179</v>
      </c>
      <c r="F50" t="s">
        <v>488</v>
      </c>
      <c r="G50" t="s">
        <v>489</v>
      </c>
      <c r="H50" t="s">
        <v>46</v>
      </c>
      <c r="I50">
        <v>1</v>
      </c>
      <c r="J50" s="4">
        <v>43560</v>
      </c>
      <c r="K50" s="4">
        <v>43560</v>
      </c>
      <c r="L50" s="5">
        <v>0.52083333333333337</v>
      </c>
      <c r="M50" s="5">
        <v>0.58333333333333337</v>
      </c>
      <c r="N50">
        <v>55.530740000000002</v>
      </c>
      <c r="O50">
        <v>13.879630000000001</v>
      </c>
      <c r="P50">
        <v>429282</v>
      </c>
      <c r="Q50">
        <v>6154424</v>
      </c>
      <c r="R50" t="s">
        <v>490</v>
      </c>
      <c r="S50">
        <v>310</v>
      </c>
      <c r="T50" t="s">
        <v>499</v>
      </c>
      <c r="U50" t="s">
        <v>492</v>
      </c>
      <c r="V50" t="s">
        <v>493</v>
      </c>
      <c r="W50" t="s">
        <v>494</v>
      </c>
      <c r="X50" t="s">
        <v>494</v>
      </c>
      <c r="Y50" t="s">
        <v>603</v>
      </c>
      <c r="Z50">
        <v>1</v>
      </c>
      <c r="AA50">
        <v>1</v>
      </c>
      <c r="AE50" t="s">
        <v>42</v>
      </c>
      <c r="AF50" t="s">
        <v>496</v>
      </c>
      <c r="AG50" t="b">
        <v>0</v>
      </c>
      <c r="AH50" t="b">
        <v>0</v>
      </c>
      <c r="AI50" t="b">
        <v>0</v>
      </c>
      <c r="AK50" t="s">
        <v>497</v>
      </c>
      <c r="AL50" t="b">
        <v>0</v>
      </c>
      <c r="AM50" t="b">
        <v>0</v>
      </c>
    </row>
    <row r="51" spans="1:39">
      <c r="A51" t="s">
        <v>604</v>
      </c>
      <c r="B51" t="b">
        <v>1</v>
      </c>
      <c r="C51">
        <v>102972</v>
      </c>
      <c r="D51" t="s">
        <v>55</v>
      </c>
      <c r="E51" t="s">
        <v>56</v>
      </c>
      <c r="F51" t="s">
        <v>488</v>
      </c>
      <c r="G51" t="s">
        <v>489</v>
      </c>
      <c r="H51" t="s">
        <v>41</v>
      </c>
      <c r="I51">
        <v>1</v>
      </c>
      <c r="J51" s="4">
        <v>43587</v>
      </c>
      <c r="K51" s="4">
        <v>43587</v>
      </c>
      <c r="L51" s="5">
        <v>0.5</v>
      </c>
      <c r="M51" s="5">
        <v>0.5</v>
      </c>
      <c r="N51">
        <v>55.54081</v>
      </c>
      <c r="O51">
        <v>13.95609</v>
      </c>
      <c r="P51">
        <v>434125</v>
      </c>
      <c r="Q51">
        <v>6155470</v>
      </c>
      <c r="R51" t="s">
        <v>490</v>
      </c>
      <c r="S51">
        <v>1500</v>
      </c>
      <c r="T51" t="s">
        <v>507</v>
      </c>
      <c r="U51" t="s">
        <v>508</v>
      </c>
      <c r="V51" t="s">
        <v>504</v>
      </c>
      <c r="W51" t="s">
        <v>494</v>
      </c>
      <c r="X51" t="s">
        <v>494</v>
      </c>
      <c r="Y51" t="s">
        <v>536</v>
      </c>
      <c r="Z51">
        <v>2</v>
      </c>
      <c r="AA51">
        <v>2</v>
      </c>
      <c r="AE51" t="s">
        <v>42</v>
      </c>
      <c r="AF51" t="s">
        <v>496</v>
      </c>
      <c r="AG51" t="b">
        <v>0</v>
      </c>
      <c r="AH51" t="b">
        <v>0</v>
      </c>
      <c r="AI51" t="b">
        <v>0</v>
      </c>
      <c r="AK51" t="s">
        <v>497</v>
      </c>
      <c r="AL51" t="b">
        <v>0</v>
      </c>
      <c r="AM51" t="b">
        <v>0</v>
      </c>
    </row>
    <row r="52" spans="1:39">
      <c r="A52" t="s">
        <v>605</v>
      </c>
      <c r="B52" t="b">
        <v>1</v>
      </c>
      <c r="C52">
        <v>102105</v>
      </c>
      <c r="D52" t="s">
        <v>110</v>
      </c>
      <c r="E52" t="s">
        <v>111</v>
      </c>
      <c r="F52" t="s">
        <v>488</v>
      </c>
      <c r="G52" t="s">
        <v>489</v>
      </c>
      <c r="H52" t="s">
        <v>46</v>
      </c>
      <c r="I52">
        <v>1</v>
      </c>
      <c r="J52" s="4">
        <v>43558</v>
      </c>
      <c r="K52" s="4">
        <v>43558</v>
      </c>
      <c r="L52" s="5">
        <v>0.38541666666666669</v>
      </c>
      <c r="M52" s="5">
        <v>0.42708333333333331</v>
      </c>
      <c r="N52">
        <v>55.5351</v>
      </c>
      <c r="O52">
        <v>13.95862</v>
      </c>
      <c r="P52">
        <v>434276</v>
      </c>
      <c r="Q52">
        <v>6154832</v>
      </c>
      <c r="R52" t="s">
        <v>490</v>
      </c>
      <c r="S52">
        <v>400</v>
      </c>
      <c r="T52" t="s">
        <v>563</v>
      </c>
      <c r="U52" t="s">
        <v>508</v>
      </c>
      <c r="V52" t="s">
        <v>504</v>
      </c>
      <c r="W52" t="s">
        <v>494</v>
      </c>
      <c r="X52" t="s">
        <v>494</v>
      </c>
      <c r="Y52" t="s">
        <v>536</v>
      </c>
      <c r="Z52">
        <v>4</v>
      </c>
      <c r="AA52">
        <v>4</v>
      </c>
      <c r="AD52" t="s">
        <v>527</v>
      </c>
      <c r="AE52" t="s">
        <v>538</v>
      </c>
      <c r="AF52" t="s">
        <v>496</v>
      </c>
      <c r="AG52" t="b">
        <v>0</v>
      </c>
      <c r="AH52" t="b">
        <v>0</v>
      </c>
      <c r="AI52" t="b">
        <v>0</v>
      </c>
      <c r="AK52" t="s">
        <v>497</v>
      </c>
      <c r="AL52" t="b">
        <v>0</v>
      </c>
      <c r="AM52" t="b">
        <v>0</v>
      </c>
    </row>
    <row r="53" spans="1:39">
      <c r="A53" t="s">
        <v>606</v>
      </c>
      <c r="B53" t="b">
        <v>1</v>
      </c>
      <c r="C53">
        <v>102932</v>
      </c>
      <c r="D53" t="s">
        <v>116</v>
      </c>
      <c r="E53" t="s">
        <v>117</v>
      </c>
      <c r="F53" t="s">
        <v>488</v>
      </c>
      <c r="G53" t="s">
        <v>489</v>
      </c>
      <c r="H53" t="s">
        <v>41</v>
      </c>
      <c r="I53">
        <v>1</v>
      </c>
      <c r="J53" s="4">
        <v>43558</v>
      </c>
      <c r="K53" s="4">
        <v>43558</v>
      </c>
      <c r="L53" s="5">
        <v>0.38541666666666669</v>
      </c>
      <c r="M53" s="5">
        <v>0.42708333333333331</v>
      </c>
      <c r="N53">
        <v>55.5351</v>
      </c>
      <c r="O53">
        <v>13.95862</v>
      </c>
      <c r="P53">
        <v>434276</v>
      </c>
      <c r="Q53">
        <v>6154832</v>
      </c>
      <c r="R53" t="s">
        <v>490</v>
      </c>
      <c r="S53">
        <v>400</v>
      </c>
      <c r="T53" t="s">
        <v>563</v>
      </c>
      <c r="U53" t="s">
        <v>508</v>
      </c>
      <c r="V53" t="s">
        <v>504</v>
      </c>
      <c r="W53" t="s">
        <v>494</v>
      </c>
      <c r="X53" t="s">
        <v>494</v>
      </c>
      <c r="Y53" t="s">
        <v>536</v>
      </c>
      <c r="Z53">
        <v>20</v>
      </c>
      <c r="AA53">
        <v>20</v>
      </c>
      <c r="AD53" t="s">
        <v>527</v>
      </c>
      <c r="AE53" t="s">
        <v>538</v>
      </c>
      <c r="AF53" t="s">
        <v>496</v>
      </c>
      <c r="AG53" t="b">
        <v>0</v>
      </c>
      <c r="AH53" t="b">
        <v>0</v>
      </c>
      <c r="AI53" t="b">
        <v>0</v>
      </c>
      <c r="AK53" t="s">
        <v>497</v>
      </c>
      <c r="AL53" t="b">
        <v>0</v>
      </c>
      <c r="AM53" t="b">
        <v>0</v>
      </c>
    </row>
    <row r="54" spans="1:39">
      <c r="A54" t="s">
        <v>607</v>
      </c>
      <c r="B54" t="b">
        <v>1</v>
      </c>
      <c r="C54">
        <v>102952</v>
      </c>
      <c r="D54" t="s">
        <v>158</v>
      </c>
      <c r="E54" t="s">
        <v>159</v>
      </c>
      <c r="F54" t="s">
        <v>488</v>
      </c>
      <c r="G54" t="s">
        <v>489</v>
      </c>
      <c r="H54" t="s">
        <v>85</v>
      </c>
      <c r="I54">
        <v>1</v>
      </c>
      <c r="J54" s="4">
        <v>43943</v>
      </c>
      <c r="K54" s="4">
        <v>43943</v>
      </c>
      <c r="L54" s="5">
        <v>0.54166666666666663</v>
      </c>
      <c r="M54" s="5">
        <v>0.57638888888888884</v>
      </c>
      <c r="N54">
        <v>55.515189999999997</v>
      </c>
      <c r="O54">
        <v>13.899330000000001</v>
      </c>
      <c r="P54">
        <v>430498</v>
      </c>
      <c r="Q54">
        <v>6152673</v>
      </c>
      <c r="R54" t="s">
        <v>490</v>
      </c>
      <c r="S54">
        <v>125</v>
      </c>
      <c r="T54" t="s">
        <v>552</v>
      </c>
      <c r="U54" t="s">
        <v>525</v>
      </c>
      <c r="V54" t="s">
        <v>504</v>
      </c>
      <c r="W54" t="s">
        <v>494</v>
      </c>
      <c r="X54" t="s">
        <v>494</v>
      </c>
      <c r="Y54" t="s">
        <v>536</v>
      </c>
      <c r="Z54">
        <v>6</v>
      </c>
      <c r="AA54">
        <v>6</v>
      </c>
      <c r="AE54" t="s">
        <v>51</v>
      </c>
      <c r="AF54" t="s">
        <v>496</v>
      </c>
      <c r="AG54" t="b">
        <v>0</v>
      </c>
      <c r="AH54" t="b">
        <v>0</v>
      </c>
      <c r="AI54" t="b">
        <v>0</v>
      </c>
      <c r="AK54" t="s">
        <v>497</v>
      </c>
      <c r="AL54" t="b">
        <v>0</v>
      </c>
      <c r="AM54" t="b">
        <v>0</v>
      </c>
    </row>
    <row r="55" spans="1:39">
      <c r="A55" t="s">
        <v>608</v>
      </c>
      <c r="B55" t="b">
        <v>1</v>
      </c>
      <c r="C55">
        <v>102980</v>
      </c>
      <c r="D55" t="s">
        <v>354</v>
      </c>
      <c r="E55" t="s">
        <v>355</v>
      </c>
      <c r="F55" t="s">
        <v>488</v>
      </c>
      <c r="G55" t="s">
        <v>489</v>
      </c>
      <c r="H55" t="s">
        <v>41</v>
      </c>
      <c r="I55">
        <v>1</v>
      </c>
      <c r="J55" s="4">
        <v>44017</v>
      </c>
      <c r="K55" s="4">
        <v>44017</v>
      </c>
      <c r="L55" s="5">
        <v>0.47916666666666669</v>
      </c>
      <c r="M55" s="5">
        <v>0.51388888888888884</v>
      </c>
      <c r="N55">
        <v>55.547759999999997</v>
      </c>
      <c r="O55">
        <v>13.86754</v>
      </c>
      <c r="P55">
        <v>428550</v>
      </c>
      <c r="Q55">
        <v>6156331</v>
      </c>
      <c r="R55" t="s">
        <v>490</v>
      </c>
      <c r="S55">
        <v>627</v>
      </c>
      <c r="T55" t="s">
        <v>541</v>
      </c>
      <c r="U55" t="s">
        <v>525</v>
      </c>
      <c r="V55" t="s">
        <v>504</v>
      </c>
      <c r="W55" t="s">
        <v>494</v>
      </c>
      <c r="X55" t="s">
        <v>494</v>
      </c>
      <c r="Y55" t="s">
        <v>560</v>
      </c>
      <c r="Z55">
        <v>2</v>
      </c>
      <c r="AA55">
        <v>2</v>
      </c>
      <c r="AD55" t="s">
        <v>527</v>
      </c>
      <c r="AE55" t="s">
        <v>431</v>
      </c>
      <c r="AF55" t="s">
        <v>496</v>
      </c>
      <c r="AG55" t="b">
        <v>0</v>
      </c>
      <c r="AH55" t="b">
        <v>0</v>
      </c>
      <c r="AI55" t="b">
        <v>0</v>
      </c>
      <c r="AK55" t="s">
        <v>497</v>
      </c>
      <c r="AL55" t="b">
        <v>0</v>
      </c>
      <c r="AM55" t="b">
        <v>0</v>
      </c>
    </row>
    <row r="56" spans="1:39">
      <c r="A56" t="s">
        <v>609</v>
      </c>
      <c r="B56" t="b">
        <v>1</v>
      </c>
      <c r="C56">
        <v>100045</v>
      </c>
      <c r="D56" t="s">
        <v>74</v>
      </c>
      <c r="E56" t="s">
        <v>75</v>
      </c>
      <c r="F56" t="s">
        <v>488</v>
      </c>
      <c r="G56" t="s">
        <v>489</v>
      </c>
      <c r="H56" t="s">
        <v>46</v>
      </c>
      <c r="I56">
        <v>1</v>
      </c>
      <c r="J56" s="4">
        <v>43983</v>
      </c>
      <c r="K56" s="4">
        <v>43983</v>
      </c>
      <c r="L56" s="5">
        <v>0.81944444444444442</v>
      </c>
      <c r="M56" s="5">
        <v>0.86111111111111116</v>
      </c>
      <c r="N56">
        <v>55.515189999999997</v>
      </c>
      <c r="O56">
        <v>13.899330000000001</v>
      </c>
      <c r="P56">
        <v>430498</v>
      </c>
      <c r="Q56">
        <v>6152673</v>
      </c>
      <c r="R56" t="s">
        <v>490</v>
      </c>
      <c r="S56">
        <v>125</v>
      </c>
      <c r="T56" t="s">
        <v>552</v>
      </c>
      <c r="U56" t="s">
        <v>525</v>
      </c>
      <c r="V56" t="s">
        <v>504</v>
      </c>
      <c r="W56" t="s">
        <v>494</v>
      </c>
      <c r="X56" t="s">
        <v>494</v>
      </c>
      <c r="Y56" t="s">
        <v>536</v>
      </c>
      <c r="Z56">
        <v>1</v>
      </c>
      <c r="AA56">
        <v>1</v>
      </c>
      <c r="AE56" t="s">
        <v>538</v>
      </c>
      <c r="AF56" t="s">
        <v>496</v>
      </c>
      <c r="AG56" t="b">
        <v>0</v>
      </c>
      <c r="AH56" t="b">
        <v>0</v>
      </c>
      <c r="AI56" t="b">
        <v>0</v>
      </c>
      <c r="AK56" t="s">
        <v>497</v>
      </c>
      <c r="AL56" t="b">
        <v>0</v>
      </c>
      <c r="AM56" t="b">
        <v>0</v>
      </c>
    </row>
    <row r="57" spans="1:39">
      <c r="A57" t="s">
        <v>610</v>
      </c>
      <c r="B57" t="b">
        <v>1</v>
      </c>
      <c r="C57">
        <v>103036</v>
      </c>
      <c r="D57" t="s">
        <v>324</v>
      </c>
      <c r="E57" t="s">
        <v>325</v>
      </c>
      <c r="F57" t="s">
        <v>488</v>
      </c>
      <c r="G57" t="s">
        <v>489</v>
      </c>
      <c r="H57" t="s">
        <v>46</v>
      </c>
      <c r="I57">
        <v>1</v>
      </c>
      <c r="J57" s="4">
        <v>43842</v>
      </c>
      <c r="K57" s="4">
        <v>43842</v>
      </c>
      <c r="N57">
        <v>55.547759999999997</v>
      </c>
      <c r="O57">
        <v>13.86754</v>
      </c>
      <c r="P57">
        <v>428550</v>
      </c>
      <c r="Q57">
        <v>6156331</v>
      </c>
      <c r="R57" t="s">
        <v>490</v>
      </c>
      <c r="S57">
        <v>627</v>
      </c>
      <c r="T57" t="s">
        <v>541</v>
      </c>
      <c r="U57" t="s">
        <v>525</v>
      </c>
      <c r="V57" t="s">
        <v>504</v>
      </c>
      <c r="W57" t="s">
        <v>494</v>
      </c>
      <c r="X57" t="s">
        <v>494</v>
      </c>
      <c r="Y57" t="s">
        <v>536</v>
      </c>
      <c r="Z57">
        <v>1</v>
      </c>
      <c r="AA57">
        <v>1</v>
      </c>
      <c r="AE57" t="s">
        <v>542</v>
      </c>
      <c r="AF57" t="s">
        <v>496</v>
      </c>
      <c r="AG57" t="b">
        <v>0</v>
      </c>
      <c r="AH57" t="b">
        <v>0</v>
      </c>
      <c r="AI57" t="b">
        <v>0</v>
      </c>
      <c r="AK57" t="s">
        <v>497</v>
      </c>
      <c r="AL57" t="b">
        <v>0</v>
      </c>
      <c r="AM57" t="b">
        <v>0</v>
      </c>
    </row>
    <row r="58" spans="1:39">
      <c r="A58" t="s">
        <v>611</v>
      </c>
      <c r="B58" t="b">
        <v>1</v>
      </c>
      <c r="C58">
        <v>102932</v>
      </c>
      <c r="D58" t="s">
        <v>116</v>
      </c>
      <c r="E58" t="s">
        <v>117</v>
      </c>
      <c r="F58" t="s">
        <v>488</v>
      </c>
      <c r="G58" t="s">
        <v>489</v>
      </c>
      <c r="H58" t="s">
        <v>41</v>
      </c>
      <c r="I58">
        <v>1</v>
      </c>
      <c r="J58" s="4">
        <v>44350</v>
      </c>
      <c r="K58" s="4">
        <v>44350</v>
      </c>
      <c r="L58" s="5">
        <v>0.77083333333333337</v>
      </c>
      <c r="M58" s="5">
        <v>0.8125</v>
      </c>
      <c r="N58">
        <v>55.515189999999997</v>
      </c>
      <c r="O58">
        <v>13.899330000000001</v>
      </c>
      <c r="P58">
        <v>430498</v>
      </c>
      <c r="Q58">
        <v>6152673</v>
      </c>
      <c r="R58" t="s">
        <v>490</v>
      </c>
      <c r="S58">
        <v>125</v>
      </c>
      <c r="T58" t="s">
        <v>552</v>
      </c>
      <c r="U58" t="s">
        <v>525</v>
      </c>
      <c r="V58" t="s">
        <v>504</v>
      </c>
      <c r="W58" t="s">
        <v>494</v>
      </c>
      <c r="X58" t="s">
        <v>494</v>
      </c>
      <c r="Y58" t="s">
        <v>536</v>
      </c>
      <c r="Z58">
        <v>1</v>
      </c>
      <c r="AA58">
        <v>1</v>
      </c>
      <c r="AD58" t="s">
        <v>510</v>
      </c>
      <c r="AE58" t="s">
        <v>538</v>
      </c>
      <c r="AF58" t="s">
        <v>496</v>
      </c>
      <c r="AG58" t="b">
        <v>0</v>
      </c>
      <c r="AH58" t="b">
        <v>0</v>
      </c>
      <c r="AI58" t="b">
        <v>0</v>
      </c>
      <c r="AK58" t="s">
        <v>497</v>
      </c>
      <c r="AL58" t="b">
        <v>0</v>
      </c>
      <c r="AM58" t="b">
        <v>0</v>
      </c>
    </row>
    <row r="59" spans="1:39">
      <c r="A59" t="s">
        <v>612</v>
      </c>
      <c r="B59" t="b">
        <v>1</v>
      </c>
      <c r="C59">
        <v>102626</v>
      </c>
      <c r="D59" t="s">
        <v>318</v>
      </c>
      <c r="E59" t="s">
        <v>319</v>
      </c>
      <c r="F59" t="s">
        <v>488</v>
      </c>
      <c r="G59" t="s">
        <v>489</v>
      </c>
      <c r="H59" t="s">
        <v>46</v>
      </c>
      <c r="I59">
        <v>1</v>
      </c>
      <c r="J59" s="4">
        <v>44354</v>
      </c>
      <c r="K59" s="4">
        <v>44354</v>
      </c>
      <c r="L59" s="5">
        <v>0.79166666666666663</v>
      </c>
      <c r="M59" s="5">
        <v>0.82291666666666663</v>
      </c>
      <c r="N59">
        <v>55.51511</v>
      </c>
      <c r="O59">
        <v>13.915900000000001</v>
      </c>
      <c r="P59">
        <v>431544</v>
      </c>
      <c r="Q59">
        <v>6152649</v>
      </c>
      <c r="R59" t="s">
        <v>490</v>
      </c>
      <c r="S59">
        <v>150</v>
      </c>
      <c r="T59" t="s">
        <v>613</v>
      </c>
      <c r="U59" t="s">
        <v>525</v>
      </c>
      <c r="V59" t="s">
        <v>504</v>
      </c>
      <c r="W59" t="s">
        <v>494</v>
      </c>
      <c r="X59" t="s">
        <v>494</v>
      </c>
      <c r="Y59" t="s">
        <v>536</v>
      </c>
      <c r="Z59">
        <v>1</v>
      </c>
      <c r="AA59">
        <v>1</v>
      </c>
      <c r="AD59" t="s">
        <v>510</v>
      </c>
      <c r="AE59" t="s">
        <v>538</v>
      </c>
      <c r="AF59" t="s">
        <v>496</v>
      </c>
      <c r="AG59" t="b">
        <v>0</v>
      </c>
      <c r="AH59" t="b">
        <v>0</v>
      </c>
      <c r="AI59" t="b">
        <v>0</v>
      </c>
      <c r="AK59" t="s">
        <v>497</v>
      </c>
      <c r="AL59" t="b">
        <v>0</v>
      </c>
      <c r="AM59" t="b">
        <v>0</v>
      </c>
    </row>
    <row r="60" spans="1:39">
      <c r="A60" t="s">
        <v>614</v>
      </c>
      <c r="B60" t="b">
        <v>1</v>
      </c>
      <c r="C60">
        <v>102977</v>
      </c>
      <c r="D60" t="s">
        <v>47</v>
      </c>
      <c r="E60" t="s">
        <v>48</v>
      </c>
      <c r="F60" t="s">
        <v>488</v>
      </c>
      <c r="G60" t="s">
        <v>489</v>
      </c>
      <c r="H60" t="s">
        <v>46</v>
      </c>
      <c r="I60">
        <v>1</v>
      </c>
      <c r="J60" s="4">
        <v>45399</v>
      </c>
      <c r="K60" s="4">
        <v>45399</v>
      </c>
      <c r="L60" s="5">
        <v>0.4513888888888889</v>
      </c>
      <c r="M60" s="5">
        <v>0.54861111111111116</v>
      </c>
      <c r="N60">
        <v>55.547759999999997</v>
      </c>
      <c r="O60">
        <v>13.86754</v>
      </c>
      <c r="P60">
        <v>428550</v>
      </c>
      <c r="Q60">
        <v>6156331</v>
      </c>
      <c r="R60" t="s">
        <v>490</v>
      </c>
      <c r="S60">
        <v>627</v>
      </c>
      <c r="T60" t="s">
        <v>541</v>
      </c>
      <c r="U60" t="s">
        <v>525</v>
      </c>
      <c r="V60" t="s">
        <v>504</v>
      </c>
      <c r="W60" t="s">
        <v>494</v>
      </c>
      <c r="X60" t="s">
        <v>494</v>
      </c>
      <c r="Y60" t="s">
        <v>615</v>
      </c>
      <c r="Z60">
        <v>1</v>
      </c>
      <c r="AA60">
        <v>1</v>
      </c>
      <c r="AE60" t="s">
        <v>42</v>
      </c>
      <c r="AF60" t="s">
        <v>496</v>
      </c>
      <c r="AG60" t="b">
        <v>0</v>
      </c>
      <c r="AH60" t="b">
        <v>0</v>
      </c>
      <c r="AI60" t="b">
        <v>0</v>
      </c>
      <c r="AK60" t="s">
        <v>497</v>
      </c>
      <c r="AL60" t="b">
        <v>0</v>
      </c>
      <c r="AM60" t="b">
        <v>0</v>
      </c>
    </row>
    <row r="61" spans="1:39">
      <c r="A61" t="s">
        <v>616</v>
      </c>
      <c r="B61" t="b">
        <v>1</v>
      </c>
      <c r="C61">
        <v>102987</v>
      </c>
      <c r="D61" t="s">
        <v>388</v>
      </c>
      <c r="E61" t="s">
        <v>389</v>
      </c>
      <c r="F61" t="s">
        <v>488</v>
      </c>
      <c r="G61" t="s">
        <v>489</v>
      </c>
      <c r="H61" t="s">
        <v>41</v>
      </c>
      <c r="I61">
        <v>1</v>
      </c>
      <c r="J61" s="4">
        <v>45433</v>
      </c>
      <c r="K61" s="4">
        <v>45433</v>
      </c>
      <c r="L61" s="5">
        <v>0.68402777777777779</v>
      </c>
      <c r="M61" s="5">
        <v>0.72916666666666663</v>
      </c>
      <c r="N61">
        <v>55.547759999999997</v>
      </c>
      <c r="O61">
        <v>13.86754</v>
      </c>
      <c r="P61">
        <v>428550</v>
      </c>
      <c r="Q61">
        <v>6156331</v>
      </c>
      <c r="R61" t="s">
        <v>490</v>
      </c>
      <c r="S61">
        <v>627</v>
      </c>
      <c r="T61" t="s">
        <v>541</v>
      </c>
      <c r="U61" t="s">
        <v>525</v>
      </c>
      <c r="V61" t="s">
        <v>504</v>
      </c>
      <c r="W61" t="s">
        <v>494</v>
      </c>
      <c r="X61" t="s">
        <v>494</v>
      </c>
      <c r="Y61" t="s">
        <v>617</v>
      </c>
      <c r="Z61">
        <v>1</v>
      </c>
      <c r="AA61">
        <v>1</v>
      </c>
      <c r="AE61" t="s">
        <v>57</v>
      </c>
      <c r="AF61" t="s">
        <v>496</v>
      </c>
      <c r="AG61" t="b">
        <v>0</v>
      </c>
      <c r="AH61" t="b">
        <v>0</v>
      </c>
      <c r="AI61" t="b">
        <v>0</v>
      </c>
      <c r="AK61" t="s">
        <v>497</v>
      </c>
      <c r="AL61" t="b">
        <v>0</v>
      </c>
      <c r="AM61" t="b">
        <v>0</v>
      </c>
    </row>
    <row r="62" spans="1:39">
      <c r="A62" t="s">
        <v>618</v>
      </c>
      <c r="B62" t="b">
        <v>1</v>
      </c>
      <c r="C62">
        <v>103003</v>
      </c>
      <c r="D62" t="s">
        <v>350</v>
      </c>
      <c r="E62" t="s">
        <v>351</v>
      </c>
      <c r="F62" t="s">
        <v>488</v>
      </c>
      <c r="G62" t="s">
        <v>489</v>
      </c>
      <c r="H62" t="s">
        <v>85</v>
      </c>
      <c r="I62">
        <v>1</v>
      </c>
      <c r="J62" s="4">
        <v>45471</v>
      </c>
      <c r="K62" s="4">
        <v>45471</v>
      </c>
      <c r="L62" s="5">
        <v>0.34097222222222223</v>
      </c>
      <c r="M62" s="5">
        <v>0.34097222222222223</v>
      </c>
      <c r="N62">
        <v>55.530740000000002</v>
      </c>
      <c r="O62">
        <v>13.879630000000001</v>
      </c>
      <c r="P62">
        <v>429282</v>
      </c>
      <c r="Q62">
        <v>6154424</v>
      </c>
      <c r="R62" t="s">
        <v>490</v>
      </c>
      <c r="S62">
        <v>310</v>
      </c>
      <c r="T62" t="s">
        <v>499</v>
      </c>
      <c r="U62" t="s">
        <v>492</v>
      </c>
      <c r="V62" t="s">
        <v>493</v>
      </c>
      <c r="W62" t="s">
        <v>494</v>
      </c>
      <c r="X62" t="s">
        <v>494</v>
      </c>
      <c r="Y62" t="s">
        <v>619</v>
      </c>
      <c r="Z62">
        <v>1</v>
      </c>
      <c r="AA62">
        <v>1</v>
      </c>
      <c r="AE62" t="s">
        <v>42</v>
      </c>
      <c r="AF62" t="s">
        <v>496</v>
      </c>
      <c r="AG62" t="b">
        <v>0</v>
      </c>
      <c r="AH62" t="b">
        <v>0</v>
      </c>
      <c r="AI62" t="b">
        <v>0</v>
      </c>
      <c r="AK62" t="s">
        <v>497</v>
      </c>
      <c r="AL62" t="b">
        <v>0</v>
      </c>
      <c r="AM62" t="b">
        <v>0</v>
      </c>
    </row>
    <row r="63" spans="1:39">
      <c r="A63" t="s">
        <v>620</v>
      </c>
      <c r="B63" t="b">
        <v>1</v>
      </c>
      <c r="C63">
        <v>103055</v>
      </c>
      <c r="D63" t="s">
        <v>413</v>
      </c>
      <c r="E63" t="s">
        <v>414</v>
      </c>
      <c r="F63" t="s">
        <v>488</v>
      </c>
      <c r="G63" t="s">
        <v>489</v>
      </c>
      <c r="H63" t="s">
        <v>41</v>
      </c>
      <c r="I63">
        <v>1</v>
      </c>
      <c r="J63" s="4">
        <v>45107</v>
      </c>
      <c r="K63" s="4">
        <v>45107</v>
      </c>
      <c r="L63" s="5">
        <v>0.36944444444444446</v>
      </c>
      <c r="M63" s="5">
        <v>0.3923611111111111</v>
      </c>
      <c r="N63">
        <v>55.530740000000002</v>
      </c>
      <c r="O63">
        <v>13.879630000000001</v>
      </c>
      <c r="P63">
        <v>429282</v>
      </c>
      <c r="Q63">
        <v>6154424</v>
      </c>
      <c r="R63" t="s">
        <v>490</v>
      </c>
      <c r="S63">
        <v>310</v>
      </c>
      <c r="T63" t="s">
        <v>499</v>
      </c>
      <c r="U63" t="s">
        <v>492</v>
      </c>
      <c r="V63" t="s">
        <v>493</v>
      </c>
      <c r="W63" t="s">
        <v>494</v>
      </c>
      <c r="X63" t="s">
        <v>494</v>
      </c>
      <c r="Y63" t="s">
        <v>621</v>
      </c>
      <c r="Z63">
        <v>1</v>
      </c>
      <c r="AA63">
        <v>1</v>
      </c>
      <c r="AE63" t="s">
        <v>42</v>
      </c>
      <c r="AF63" t="s">
        <v>496</v>
      </c>
      <c r="AG63" t="b">
        <v>0</v>
      </c>
      <c r="AH63" t="b">
        <v>0</v>
      </c>
      <c r="AI63" t="b">
        <v>0</v>
      </c>
      <c r="AK63" t="s">
        <v>497</v>
      </c>
      <c r="AL63" t="b">
        <v>0</v>
      </c>
      <c r="AM63" t="b">
        <v>0</v>
      </c>
    </row>
    <row r="64" spans="1:39">
      <c r="A64" t="s">
        <v>622</v>
      </c>
      <c r="B64" t="b">
        <v>1</v>
      </c>
      <c r="C64">
        <v>102977</v>
      </c>
      <c r="D64" t="s">
        <v>47</v>
      </c>
      <c r="E64" t="s">
        <v>48</v>
      </c>
      <c r="F64" t="s">
        <v>488</v>
      </c>
      <c r="G64" t="s">
        <v>489</v>
      </c>
      <c r="H64" t="s">
        <v>46</v>
      </c>
      <c r="I64">
        <v>1</v>
      </c>
      <c r="J64" s="4">
        <v>45366</v>
      </c>
      <c r="K64" s="4">
        <v>45366</v>
      </c>
      <c r="L64" s="5">
        <v>0.4236111111111111</v>
      </c>
      <c r="M64" s="5">
        <v>0.44444444444444442</v>
      </c>
      <c r="N64">
        <v>55.521590000000003</v>
      </c>
      <c r="O64">
        <v>13.894130000000001</v>
      </c>
      <c r="P64">
        <v>430181</v>
      </c>
      <c r="Q64">
        <v>6153391</v>
      </c>
      <c r="R64" t="s">
        <v>490</v>
      </c>
      <c r="S64">
        <v>500</v>
      </c>
      <c r="T64" t="s">
        <v>623</v>
      </c>
      <c r="U64" t="s">
        <v>516</v>
      </c>
      <c r="V64" t="s">
        <v>493</v>
      </c>
      <c r="W64" t="s">
        <v>494</v>
      </c>
      <c r="X64" t="s">
        <v>494</v>
      </c>
      <c r="Y64" t="s">
        <v>624</v>
      </c>
      <c r="Z64">
        <v>1</v>
      </c>
      <c r="AA64">
        <v>1</v>
      </c>
      <c r="AE64" t="s">
        <v>42</v>
      </c>
      <c r="AF64" t="s">
        <v>496</v>
      </c>
      <c r="AG64" t="b">
        <v>0</v>
      </c>
      <c r="AH64" t="b">
        <v>0</v>
      </c>
      <c r="AI64" t="b">
        <v>0</v>
      </c>
      <c r="AK64" t="s">
        <v>497</v>
      </c>
      <c r="AL64" t="b">
        <v>0</v>
      </c>
      <c r="AM64" t="b">
        <v>0</v>
      </c>
    </row>
    <row r="65" spans="1:39">
      <c r="A65" t="s">
        <v>625</v>
      </c>
      <c r="B65" t="b">
        <v>1</v>
      </c>
      <c r="C65">
        <v>102990</v>
      </c>
      <c r="D65" t="s">
        <v>39</v>
      </c>
      <c r="E65" t="s">
        <v>40</v>
      </c>
      <c r="F65" t="s">
        <v>488</v>
      </c>
      <c r="G65" t="s">
        <v>489</v>
      </c>
      <c r="H65" t="s">
        <v>41</v>
      </c>
      <c r="I65">
        <v>1</v>
      </c>
      <c r="J65" s="4">
        <v>45752</v>
      </c>
      <c r="K65" s="4">
        <v>45752</v>
      </c>
      <c r="N65">
        <v>55.556199999999997</v>
      </c>
      <c r="O65">
        <v>13.93919</v>
      </c>
      <c r="P65">
        <v>433085</v>
      </c>
      <c r="Q65">
        <v>6157198</v>
      </c>
      <c r="R65" t="s">
        <v>490</v>
      </c>
      <c r="S65">
        <v>25</v>
      </c>
      <c r="T65" t="s">
        <v>554</v>
      </c>
      <c r="U65" t="s">
        <v>508</v>
      </c>
      <c r="V65" t="s">
        <v>504</v>
      </c>
      <c r="W65" t="s">
        <v>494</v>
      </c>
      <c r="X65" t="s">
        <v>494</v>
      </c>
      <c r="Y65" t="s">
        <v>555</v>
      </c>
      <c r="Z65">
        <v>1</v>
      </c>
      <c r="AA65">
        <v>1</v>
      </c>
      <c r="AE65" t="s">
        <v>42</v>
      </c>
      <c r="AF65" t="s">
        <v>496</v>
      </c>
      <c r="AG65" t="b">
        <v>0</v>
      </c>
      <c r="AH65" t="b">
        <v>0</v>
      </c>
      <c r="AI65" t="b">
        <v>0</v>
      </c>
      <c r="AK65" t="s">
        <v>497</v>
      </c>
      <c r="AL65" t="b">
        <v>0</v>
      </c>
      <c r="AM65" t="b">
        <v>0</v>
      </c>
    </row>
    <row r="66" spans="1:39">
      <c r="A66" t="s">
        <v>626</v>
      </c>
      <c r="B66" t="b">
        <v>1</v>
      </c>
      <c r="C66">
        <v>102625</v>
      </c>
      <c r="D66" t="s">
        <v>380</v>
      </c>
      <c r="E66" t="s">
        <v>381</v>
      </c>
      <c r="F66" t="s">
        <v>488</v>
      </c>
      <c r="G66" t="s">
        <v>489</v>
      </c>
      <c r="H66" t="s">
        <v>46</v>
      </c>
      <c r="I66">
        <v>1</v>
      </c>
      <c r="J66" s="4">
        <v>38108</v>
      </c>
      <c r="K66" s="4">
        <v>38108</v>
      </c>
      <c r="L66" s="5">
        <v>0.37847222222222221</v>
      </c>
      <c r="M66" s="5">
        <v>0.58333333333333337</v>
      </c>
      <c r="N66">
        <v>55.547759999999997</v>
      </c>
      <c r="O66">
        <v>13.86754</v>
      </c>
      <c r="P66">
        <v>428550</v>
      </c>
      <c r="Q66">
        <v>6156331</v>
      </c>
      <c r="R66" t="s">
        <v>490</v>
      </c>
      <c r="S66">
        <v>627</v>
      </c>
      <c r="T66" t="s">
        <v>541</v>
      </c>
      <c r="U66" t="s">
        <v>525</v>
      </c>
      <c r="V66" t="s">
        <v>504</v>
      </c>
      <c r="W66" t="s">
        <v>494</v>
      </c>
      <c r="X66" t="s">
        <v>494</v>
      </c>
      <c r="Y66" t="s">
        <v>627</v>
      </c>
      <c r="Z66">
        <v>1</v>
      </c>
      <c r="AA66">
        <v>1</v>
      </c>
      <c r="AD66" t="s">
        <v>510</v>
      </c>
      <c r="AE66" t="s">
        <v>42</v>
      </c>
      <c r="AF66" t="s">
        <v>601</v>
      </c>
      <c r="AG66" t="b">
        <v>0</v>
      </c>
      <c r="AH66" t="b">
        <v>0</v>
      </c>
      <c r="AI66" t="b">
        <v>0</v>
      </c>
      <c r="AK66" t="s">
        <v>497</v>
      </c>
      <c r="AL66" t="b">
        <v>0</v>
      </c>
      <c r="AM66" t="b">
        <v>0</v>
      </c>
    </row>
    <row r="67" spans="1:39">
      <c r="A67" t="s">
        <v>628</v>
      </c>
      <c r="B67" t="b">
        <v>1</v>
      </c>
      <c r="C67">
        <v>102987</v>
      </c>
      <c r="D67" t="s">
        <v>388</v>
      </c>
      <c r="E67" t="s">
        <v>389</v>
      </c>
      <c r="F67" t="s">
        <v>488</v>
      </c>
      <c r="G67" t="s">
        <v>489</v>
      </c>
      <c r="H67" t="s">
        <v>41</v>
      </c>
      <c r="I67">
        <v>1</v>
      </c>
      <c r="J67" s="4">
        <v>41777</v>
      </c>
      <c r="K67" s="4">
        <v>41777</v>
      </c>
      <c r="L67" s="5">
        <v>0</v>
      </c>
      <c r="M67" s="5">
        <v>0</v>
      </c>
      <c r="N67">
        <v>55.555309999999999</v>
      </c>
      <c r="O67">
        <v>13.8569</v>
      </c>
      <c r="P67">
        <v>427893</v>
      </c>
      <c r="Q67">
        <v>6157182</v>
      </c>
      <c r="R67" t="s">
        <v>490</v>
      </c>
      <c r="S67">
        <v>140</v>
      </c>
      <c r="T67" t="s">
        <v>491</v>
      </c>
      <c r="U67" t="s">
        <v>492</v>
      </c>
      <c r="V67" t="s">
        <v>493</v>
      </c>
      <c r="W67" t="s">
        <v>494</v>
      </c>
      <c r="X67" t="s">
        <v>494</v>
      </c>
      <c r="Y67" t="s">
        <v>495</v>
      </c>
      <c r="Z67">
        <v>1</v>
      </c>
      <c r="AA67">
        <v>1</v>
      </c>
      <c r="AE67" t="s">
        <v>429</v>
      </c>
      <c r="AF67" t="s">
        <v>496</v>
      </c>
      <c r="AG67" t="b">
        <v>0</v>
      </c>
      <c r="AH67" t="b">
        <v>0</v>
      </c>
      <c r="AI67" t="b">
        <v>0</v>
      </c>
      <c r="AK67" t="s">
        <v>497</v>
      </c>
      <c r="AL67" t="b">
        <v>0</v>
      </c>
      <c r="AM67" t="b">
        <v>0</v>
      </c>
    </row>
    <row r="68" spans="1:39">
      <c r="A68" t="s">
        <v>629</v>
      </c>
      <c r="B68" t="b">
        <v>1</v>
      </c>
      <c r="C68">
        <v>102950</v>
      </c>
      <c r="D68" t="s">
        <v>150</v>
      </c>
      <c r="E68" t="s">
        <v>151</v>
      </c>
      <c r="F68" t="s">
        <v>488</v>
      </c>
      <c r="G68" t="s">
        <v>489</v>
      </c>
      <c r="H68" t="s">
        <v>41</v>
      </c>
      <c r="I68">
        <v>1</v>
      </c>
      <c r="J68" s="4">
        <v>39625</v>
      </c>
      <c r="K68" s="4">
        <v>39625</v>
      </c>
      <c r="L68" s="5">
        <v>0</v>
      </c>
      <c r="M68" s="5">
        <v>0</v>
      </c>
      <c r="N68">
        <v>55.54081</v>
      </c>
      <c r="O68">
        <v>13.95609</v>
      </c>
      <c r="P68">
        <v>434125</v>
      </c>
      <c r="Q68">
        <v>6155470</v>
      </c>
      <c r="R68" t="s">
        <v>490</v>
      </c>
      <c r="S68">
        <v>1500</v>
      </c>
      <c r="T68" t="s">
        <v>507</v>
      </c>
      <c r="U68" t="s">
        <v>508</v>
      </c>
      <c r="V68" t="s">
        <v>504</v>
      </c>
      <c r="W68" t="s">
        <v>494</v>
      </c>
      <c r="X68" t="s">
        <v>494</v>
      </c>
      <c r="Y68" t="s">
        <v>617</v>
      </c>
      <c r="Z68">
        <v>2</v>
      </c>
      <c r="AA68">
        <v>2</v>
      </c>
      <c r="AD68" t="s">
        <v>527</v>
      </c>
      <c r="AE68" t="s">
        <v>51</v>
      </c>
      <c r="AF68" t="s">
        <v>496</v>
      </c>
      <c r="AG68" t="b">
        <v>0</v>
      </c>
      <c r="AH68" t="b">
        <v>0</v>
      </c>
      <c r="AI68" t="b">
        <v>0</v>
      </c>
      <c r="AK68" t="s">
        <v>497</v>
      </c>
      <c r="AL68" t="b">
        <v>0</v>
      </c>
      <c r="AM68" t="b">
        <v>0</v>
      </c>
    </row>
    <row r="69" spans="1:39">
      <c r="A69" t="s">
        <v>630</v>
      </c>
      <c r="B69" t="b">
        <v>1</v>
      </c>
      <c r="C69">
        <v>103055</v>
      </c>
      <c r="D69" t="s">
        <v>413</v>
      </c>
      <c r="E69" t="s">
        <v>414</v>
      </c>
      <c r="F69" t="s">
        <v>488</v>
      </c>
      <c r="G69" t="s">
        <v>489</v>
      </c>
      <c r="H69" t="s">
        <v>41</v>
      </c>
      <c r="I69">
        <v>1</v>
      </c>
      <c r="J69" s="4">
        <v>38908</v>
      </c>
      <c r="K69" s="4">
        <v>38908</v>
      </c>
      <c r="L69" s="5">
        <v>0.49652777777777779</v>
      </c>
      <c r="M69" s="5">
        <v>0.52083333333333337</v>
      </c>
      <c r="N69">
        <v>55.525750000000002</v>
      </c>
      <c r="O69">
        <v>13.88649</v>
      </c>
      <c r="P69">
        <v>429706</v>
      </c>
      <c r="Q69">
        <v>6153862</v>
      </c>
      <c r="R69" t="s">
        <v>490</v>
      </c>
      <c r="S69">
        <v>311</v>
      </c>
      <c r="T69" t="s">
        <v>515</v>
      </c>
      <c r="U69" t="s">
        <v>516</v>
      </c>
      <c r="V69" t="s">
        <v>493</v>
      </c>
      <c r="W69" t="s">
        <v>494</v>
      </c>
      <c r="X69" t="s">
        <v>494</v>
      </c>
      <c r="Y69" t="s">
        <v>631</v>
      </c>
      <c r="Z69">
        <v>1</v>
      </c>
      <c r="AA69">
        <v>1</v>
      </c>
      <c r="AE69" t="s">
        <v>42</v>
      </c>
      <c r="AF69" t="s">
        <v>496</v>
      </c>
      <c r="AG69" t="b">
        <v>0</v>
      </c>
      <c r="AH69" t="b">
        <v>0</v>
      </c>
      <c r="AI69" t="b">
        <v>0</v>
      </c>
      <c r="AK69" t="s">
        <v>497</v>
      </c>
      <c r="AL69" t="b">
        <v>0</v>
      </c>
      <c r="AM69" t="b">
        <v>0</v>
      </c>
    </row>
    <row r="70" spans="1:39">
      <c r="A70" t="s">
        <v>632</v>
      </c>
      <c r="B70" t="b">
        <v>1</v>
      </c>
      <c r="C70">
        <v>103055</v>
      </c>
      <c r="D70" t="s">
        <v>413</v>
      </c>
      <c r="E70" t="s">
        <v>414</v>
      </c>
      <c r="F70" t="s">
        <v>488</v>
      </c>
      <c r="G70" t="s">
        <v>489</v>
      </c>
      <c r="H70" t="s">
        <v>41</v>
      </c>
      <c r="I70">
        <v>1</v>
      </c>
      <c r="J70" s="4">
        <v>39281</v>
      </c>
      <c r="K70" s="4">
        <v>39281</v>
      </c>
      <c r="L70" s="5">
        <v>0.83333333333333337</v>
      </c>
      <c r="M70" s="5">
        <v>0.83333333333333337</v>
      </c>
      <c r="N70">
        <v>55.525750000000002</v>
      </c>
      <c r="O70">
        <v>13.88649</v>
      </c>
      <c r="P70">
        <v>429706</v>
      </c>
      <c r="Q70">
        <v>6153862</v>
      </c>
      <c r="R70" t="s">
        <v>490</v>
      </c>
      <c r="S70">
        <v>311</v>
      </c>
      <c r="T70" t="s">
        <v>515</v>
      </c>
      <c r="U70" t="s">
        <v>516</v>
      </c>
      <c r="V70" t="s">
        <v>493</v>
      </c>
      <c r="W70" t="s">
        <v>494</v>
      </c>
      <c r="X70" t="s">
        <v>494</v>
      </c>
      <c r="Y70" t="s">
        <v>633</v>
      </c>
      <c r="Z70">
        <v>1</v>
      </c>
      <c r="AA70">
        <v>1</v>
      </c>
      <c r="AE70" t="s">
        <v>42</v>
      </c>
      <c r="AF70" t="s">
        <v>496</v>
      </c>
      <c r="AG70" t="b">
        <v>0</v>
      </c>
      <c r="AH70" t="b">
        <v>0</v>
      </c>
      <c r="AI70" t="b">
        <v>0</v>
      </c>
      <c r="AK70" t="s">
        <v>497</v>
      </c>
      <c r="AL70" t="b">
        <v>0</v>
      </c>
      <c r="AM70" t="b">
        <v>0</v>
      </c>
    </row>
    <row r="71" spans="1:39">
      <c r="A71" t="s">
        <v>634</v>
      </c>
      <c r="B71" t="b">
        <v>1</v>
      </c>
      <c r="C71">
        <v>103037</v>
      </c>
      <c r="D71" t="s">
        <v>368</v>
      </c>
      <c r="E71" t="s">
        <v>369</v>
      </c>
      <c r="F71" t="s">
        <v>488</v>
      </c>
      <c r="G71" t="s">
        <v>489</v>
      </c>
      <c r="H71" t="s">
        <v>85</v>
      </c>
      <c r="I71">
        <v>1</v>
      </c>
      <c r="J71" s="4">
        <v>39194</v>
      </c>
      <c r="K71" s="4">
        <v>39194</v>
      </c>
      <c r="L71" s="5">
        <v>0</v>
      </c>
      <c r="M71" s="5">
        <v>0</v>
      </c>
      <c r="N71">
        <v>55.555309999999999</v>
      </c>
      <c r="O71">
        <v>13.8569</v>
      </c>
      <c r="P71">
        <v>427893</v>
      </c>
      <c r="Q71">
        <v>6157182</v>
      </c>
      <c r="R71" t="s">
        <v>490</v>
      </c>
      <c r="S71">
        <v>140</v>
      </c>
      <c r="T71" t="s">
        <v>491</v>
      </c>
      <c r="U71" t="s">
        <v>492</v>
      </c>
      <c r="V71" t="s">
        <v>493</v>
      </c>
      <c r="W71" t="s">
        <v>494</v>
      </c>
      <c r="X71" t="s">
        <v>494</v>
      </c>
      <c r="Y71" t="s">
        <v>495</v>
      </c>
      <c r="Z71">
        <v>4</v>
      </c>
      <c r="AA71">
        <v>4</v>
      </c>
      <c r="AC71" t="s">
        <v>512</v>
      </c>
      <c r="AD71" t="s">
        <v>527</v>
      </c>
      <c r="AE71" t="s">
        <v>52</v>
      </c>
      <c r="AF71" t="s">
        <v>496</v>
      </c>
      <c r="AG71" t="b">
        <v>0</v>
      </c>
      <c r="AH71" t="b">
        <v>0</v>
      </c>
      <c r="AI71" t="b">
        <v>0</v>
      </c>
      <c r="AK71" t="s">
        <v>497</v>
      </c>
      <c r="AL71" t="b">
        <v>0</v>
      </c>
      <c r="AM71" t="b">
        <v>0</v>
      </c>
    </row>
    <row r="72" spans="1:39">
      <c r="A72" t="s">
        <v>635</v>
      </c>
      <c r="B72" t="b">
        <v>1</v>
      </c>
      <c r="C72">
        <v>102990</v>
      </c>
      <c r="D72" t="s">
        <v>39</v>
      </c>
      <c r="E72" t="s">
        <v>40</v>
      </c>
      <c r="F72" t="s">
        <v>488</v>
      </c>
      <c r="G72" t="s">
        <v>489</v>
      </c>
      <c r="H72" t="s">
        <v>41</v>
      </c>
      <c r="I72">
        <v>1</v>
      </c>
      <c r="J72" s="4">
        <v>41074</v>
      </c>
      <c r="K72" s="4">
        <v>41074</v>
      </c>
      <c r="L72" s="5">
        <v>0.44444444444444442</v>
      </c>
      <c r="M72" s="5">
        <v>0.46875</v>
      </c>
      <c r="N72">
        <v>55.530740000000002</v>
      </c>
      <c r="O72">
        <v>13.879630000000001</v>
      </c>
      <c r="P72">
        <v>429282</v>
      </c>
      <c r="Q72">
        <v>6154424</v>
      </c>
      <c r="R72" t="s">
        <v>490</v>
      </c>
      <c r="S72">
        <v>310</v>
      </c>
      <c r="T72" t="s">
        <v>499</v>
      </c>
      <c r="U72" t="s">
        <v>492</v>
      </c>
      <c r="V72" t="s">
        <v>493</v>
      </c>
      <c r="W72" t="s">
        <v>494</v>
      </c>
      <c r="X72" t="s">
        <v>494</v>
      </c>
      <c r="Y72" t="s">
        <v>636</v>
      </c>
      <c r="Z72">
        <v>1</v>
      </c>
      <c r="AA72">
        <v>1</v>
      </c>
      <c r="AE72" t="s">
        <v>42</v>
      </c>
      <c r="AF72" t="s">
        <v>496</v>
      </c>
      <c r="AG72" t="b">
        <v>0</v>
      </c>
      <c r="AH72" t="b">
        <v>0</v>
      </c>
      <c r="AI72" t="b">
        <v>0</v>
      </c>
      <c r="AK72" t="s">
        <v>497</v>
      </c>
      <c r="AL72" t="b">
        <v>0</v>
      </c>
      <c r="AM72" t="b">
        <v>0</v>
      </c>
    </row>
    <row r="73" spans="1:39">
      <c r="A73" t="s">
        <v>637</v>
      </c>
      <c r="B73" t="b">
        <v>1</v>
      </c>
      <c r="C73">
        <v>103037</v>
      </c>
      <c r="D73" t="s">
        <v>368</v>
      </c>
      <c r="E73" t="s">
        <v>369</v>
      </c>
      <c r="F73" t="s">
        <v>488</v>
      </c>
      <c r="G73" t="s">
        <v>489</v>
      </c>
      <c r="H73" t="s">
        <v>85</v>
      </c>
      <c r="I73">
        <v>1</v>
      </c>
      <c r="J73" s="4">
        <v>40267</v>
      </c>
      <c r="K73" s="4">
        <v>40267</v>
      </c>
      <c r="L73" s="5">
        <v>0</v>
      </c>
      <c r="M73" s="5">
        <v>0</v>
      </c>
      <c r="N73">
        <v>55.555309999999999</v>
      </c>
      <c r="O73">
        <v>13.8569</v>
      </c>
      <c r="P73">
        <v>427893</v>
      </c>
      <c r="Q73">
        <v>6157182</v>
      </c>
      <c r="R73" t="s">
        <v>490</v>
      </c>
      <c r="S73">
        <v>140</v>
      </c>
      <c r="T73" t="s">
        <v>491</v>
      </c>
      <c r="U73" t="s">
        <v>492</v>
      </c>
      <c r="V73" t="s">
        <v>493</v>
      </c>
      <c r="W73" t="s">
        <v>494</v>
      </c>
      <c r="X73" t="s">
        <v>494</v>
      </c>
      <c r="Y73" t="s">
        <v>495</v>
      </c>
      <c r="Z73">
        <v>8</v>
      </c>
      <c r="AA73">
        <v>8</v>
      </c>
      <c r="AD73" t="s">
        <v>527</v>
      </c>
      <c r="AE73" t="s">
        <v>52</v>
      </c>
      <c r="AF73" t="s">
        <v>496</v>
      </c>
      <c r="AG73" t="b">
        <v>0</v>
      </c>
      <c r="AH73" t="b">
        <v>0</v>
      </c>
      <c r="AI73" t="b">
        <v>0</v>
      </c>
      <c r="AK73" t="s">
        <v>497</v>
      </c>
      <c r="AL73" t="b">
        <v>0</v>
      </c>
      <c r="AM73" t="b">
        <v>0</v>
      </c>
    </row>
    <row r="74" spans="1:39">
      <c r="A74" t="s">
        <v>638</v>
      </c>
      <c r="B74" t="b">
        <v>1</v>
      </c>
      <c r="C74">
        <v>103020</v>
      </c>
      <c r="D74" t="s">
        <v>328</v>
      </c>
      <c r="E74" t="s">
        <v>329</v>
      </c>
      <c r="F74" t="s">
        <v>488</v>
      </c>
      <c r="G74" t="s">
        <v>489</v>
      </c>
      <c r="H74" t="s">
        <v>41</v>
      </c>
      <c r="I74">
        <v>1</v>
      </c>
      <c r="J74" s="4">
        <v>40277</v>
      </c>
      <c r="K74" s="4">
        <v>40277</v>
      </c>
      <c r="L74" s="5">
        <v>0</v>
      </c>
      <c r="M74" s="5">
        <v>0</v>
      </c>
      <c r="N74">
        <v>55.531979999999997</v>
      </c>
      <c r="O74">
        <v>13.88416</v>
      </c>
      <c r="P74">
        <v>429571</v>
      </c>
      <c r="Q74">
        <v>6154557</v>
      </c>
      <c r="R74" t="s">
        <v>490</v>
      </c>
      <c r="S74">
        <v>400</v>
      </c>
      <c r="T74" t="s">
        <v>639</v>
      </c>
      <c r="U74" t="s">
        <v>525</v>
      </c>
      <c r="V74" t="s">
        <v>504</v>
      </c>
      <c r="W74" t="s">
        <v>494</v>
      </c>
      <c r="X74" t="s">
        <v>494</v>
      </c>
      <c r="Y74" t="s">
        <v>640</v>
      </c>
      <c r="AE74" t="s">
        <v>42</v>
      </c>
      <c r="AF74" t="s">
        <v>496</v>
      </c>
      <c r="AG74" t="b">
        <v>0</v>
      </c>
      <c r="AH74" t="b">
        <v>0</v>
      </c>
      <c r="AI74" t="b">
        <v>0</v>
      </c>
      <c r="AK74" t="s">
        <v>497</v>
      </c>
      <c r="AL74" t="b">
        <v>0</v>
      </c>
      <c r="AM74" t="b">
        <v>0</v>
      </c>
    </row>
    <row r="75" spans="1:39">
      <c r="A75" t="s">
        <v>641</v>
      </c>
      <c r="B75" t="b">
        <v>1</v>
      </c>
      <c r="C75">
        <v>103020</v>
      </c>
      <c r="D75" t="s">
        <v>328</v>
      </c>
      <c r="E75" t="s">
        <v>329</v>
      </c>
      <c r="F75" t="s">
        <v>488</v>
      </c>
      <c r="G75" t="s">
        <v>489</v>
      </c>
      <c r="H75" t="s">
        <v>41</v>
      </c>
      <c r="I75">
        <v>1</v>
      </c>
      <c r="J75" s="4">
        <v>41013</v>
      </c>
      <c r="K75" s="4">
        <v>41013</v>
      </c>
      <c r="L75" s="5">
        <v>0</v>
      </c>
      <c r="M75" s="5">
        <v>0</v>
      </c>
      <c r="N75">
        <v>55.527650000000001</v>
      </c>
      <c r="O75">
        <v>13.900119999999999</v>
      </c>
      <c r="P75">
        <v>430570</v>
      </c>
      <c r="Q75">
        <v>6154060</v>
      </c>
      <c r="R75" t="s">
        <v>490</v>
      </c>
      <c r="S75">
        <v>250</v>
      </c>
      <c r="T75" t="s">
        <v>578</v>
      </c>
      <c r="U75" t="s">
        <v>525</v>
      </c>
      <c r="V75" t="s">
        <v>504</v>
      </c>
      <c r="W75" t="s">
        <v>494</v>
      </c>
      <c r="X75" t="s">
        <v>494</v>
      </c>
      <c r="Y75" t="s">
        <v>581</v>
      </c>
      <c r="Z75">
        <v>1</v>
      </c>
      <c r="AA75">
        <v>1</v>
      </c>
      <c r="AE75" t="s">
        <v>42</v>
      </c>
      <c r="AF75" t="s">
        <v>496</v>
      </c>
      <c r="AG75" t="b">
        <v>0</v>
      </c>
      <c r="AH75" t="b">
        <v>0</v>
      </c>
      <c r="AI75" t="b">
        <v>0</v>
      </c>
      <c r="AK75" t="s">
        <v>497</v>
      </c>
      <c r="AL75" t="b">
        <v>0</v>
      </c>
      <c r="AM75" t="b">
        <v>0</v>
      </c>
    </row>
    <row r="76" spans="1:39">
      <c r="A76" t="s">
        <v>642</v>
      </c>
      <c r="B76" t="b">
        <v>1</v>
      </c>
      <c r="C76">
        <v>102990</v>
      </c>
      <c r="D76" t="s">
        <v>39</v>
      </c>
      <c r="E76" t="s">
        <v>40</v>
      </c>
      <c r="F76" t="s">
        <v>488</v>
      </c>
      <c r="G76" t="s">
        <v>489</v>
      </c>
      <c r="H76" t="s">
        <v>41</v>
      </c>
      <c r="I76">
        <v>1</v>
      </c>
      <c r="J76" s="4">
        <v>43577</v>
      </c>
      <c r="K76" s="4">
        <v>43577</v>
      </c>
      <c r="L76" s="5">
        <v>0.44791666666666669</v>
      </c>
      <c r="M76" s="5">
        <v>0.46875</v>
      </c>
      <c r="N76">
        <v>55.547759999999997</v>
      </c>
      <c r="O76">
        <v>13.86754</v>
      </c>
      <c r="P76">
        <v>428550</v>
      </c>
      <c r="Q76">
        <v>6156331</v>
      </c>
      <c r="R76" t="s">
        <v>490</v>
      </c>
      <c r="S76">
        <v>627</v>
      </c>
      <c r="T76" t="s">
        <v>541</v>
      </c>
      <c r="U76" t="s">
        <v>525</v>
      </c>
      <c r="V76" t="s">
        <v>504</v>
      </c>
      <c r="W76" t="s">
        <v>494</v>
      </c>
      <c r="X76" t="s">
        <v>494</v>
      </c>
      <c r="Y76" t="s">
        <v>560</v>
      </c>
      <c r="Z76">
        <v>2</v>
      </c>
      <c r="AA76">
        <v>2</v>
      </c>
      <c r="AE76" t="s">
        <v>42</v>
      </c>
      <c r="AF76" t="s">
        <v>496</v>
      </c>
      <c r="AG76" t="b">
        <v>0</v>
      </c>
      <c r="AH76" t="b">
        <v>0</v>
      </c>
      <c r="AI76" t="b">
        <v>0</v>
      </c>
      <c r="AK76" t="s">
        <v>497</v>
      </c>
      <c r="AL76" t="b">
        <v>0</v>
      </c>
      <c r="AM76" t="b">
        <v>0</v>
      </c>
    </row>
    <row r="77" spans="1:39">
      <c r="A77" t="s">
        <v>643</v>
      </c>
      <c r="B77" t="b">
        <v>1</v>
      </c>
      <c r="C77">
        <v>103037</v>
      </c>
      <c r="D77" t="s">
        <v>368</v>
      </c>
      <c r="E77" t="s">
        <v>369</v>
      </c>
      <c r="F77" t="s">
        <v>488</v>
      </c>
      <c r="G77" t="s">
        <v>489</v>
      </c>
      <c r="H77" t="s">
        <v>85</v>
      </c>
      <c r="I77">
        <v>1</v>
      </c>
      <c r="J77" s="4">
        <v>42806</v>
      </c>
      <c r="K77" s="4">
        <v>42806</v>
      </c>
      <c r="N77">
        <v>55.558250000000001</v>
      </c>
      <c r="O77">
        <v>13.85868</v>
      </c>
      <c r="P77">
        <v>428010</v>
      </c>
      <c r="Q77">
        <v>6157507</v>
      </c>
      <c r="R77" t="s">
        <v>490</v>
      </c>
      <c r="S77">
        <v>100</v>
      </c>
      <c r="T77" t="s">
        <v>531</v>
      </c>
      <c r="U77" t="s">
        <v>532</v>
      </c>
      <c r="V77" t="s">
        <v>504</v>
      </c>
      <c r="W77" t="s">
        <v>494</v>
      </c>
      <c r="X77" t="s">
        <v>494</v>
      </c>
      <c r="Y77" t="s">
        <v>495</v>
      </c>
      <c r="Z77">
        <v>12</v>
      </c>
      <c r="AA77">
        <v>12</v>
      </c>
      <c r="AC77" t="s">
        <v>512</v>
      </c>
      <c r="AE77" t="s">
        <v>52</v>
      </c>
      <c r="AF77" t="s">
        <v>496</v>
      </c>
      <c r="AG77" t="b">
        <v>0</v>
      </c>
      <c r="AH77" t="b">
        <v>0</v>
      </c>
      <c r="AI77" t="b">
        <v>0</v>
      </c>
      <c r="AK77" t="s">
        <v>497</v>
      </c>
      <c r="AL77" t="b">
        <v>0</v>
      </c>
      <c r="AM77" t="b">
        <v>0</v>
      </c>
    </row>
    <row r="78" spans="1:39">
      <c r="A78" t="s">
        <v>644</v>
      </c>
      <c r="B78" t="b">
        <v>1</v>
      </c>
      <c r="C78">
        <v>103020</v>
      </c>
      <c r="D78" t="s">
        <v>328</v>
      </c>
      <c r="E78" t="s">
        <v>329</v>
      </c>
      <c r="F78" t="s">
        <v>488</v>
      </c>
      <c r="G78" t="s">
        <v>489</v>
      </c>
      <c r="H78" t="s">
        <v>41</v>
      </c>
      <c r="I78">
        <v>1</v>
      </c>
      <c r="J78" s="4">
        <v>43847</v>
      </c>
      <c r="K78" s="4">
        <v>43847</v>
      </c>
      <c r="L78" s="5">
        <v>0.54861111111111116</v>
      </c>
      <c r="M78" s="5">
        <v>0.59027777777777779</v>
      </c>
      <c r="N78">
        <v>55.547759999999997</v>
      </c>
      <c r="O78">
        <v>13.86754</v>
      </c>
      <c r="P78">
        <v>428550</v>
      </c>
      <c r="Q78">
        <v>6156331</v>
      </c>
      <c r="R78" t="s">
        <v>490</v>
      </c>
      <c r="S78">
        <v>627</v>
      </c>
      <c r="T78" t="s">
        <v>541</v>
      </c>
      <c r="U78" t="s">
        <v>525</v>
      </c>
      <c r="V78" t="s">
        <v>504</v>
      </c>
      <c r="W78" t="s">
        <v>494</v>
      </c>
      <c r="X78" t="s">
        <v>494</v>
      </c>
      <c r="Y78" t="s">
        <v>645</v>
      </c>
      <c r="Z78">
        <v>1</v>
      </c>
      <c r="AA78">
        <v>1</v>
      </c>
      <c r="AE78" t="s">
        <v>42</v>
      </c>
      <c r="AF78" t="s">
        <v>496</v>
      </c>
      <c r="AG78" t="b">
        <v>0</v>
      </c>
      <c r="AH78" t="b">
        <v>0</v>
      </c>
      <c r="AI78" t="b">
        <v>0</v>
      </c>
      <c r="AK78" t="s">
        <v>497</v>
      </c>
      <c r="AL78" t="b">
        <v>0</v>
      </c>
      <c r="AM78" t="b">
        <v>0</v>
      </c>
    </row>
    <row r="79" spans="1:39">
      <c r="A79" t="s">
        <v>646</v>
      </c>
      <c r="B79" t="b">
        <v>1</v>
      </c>
      <c r="C79">
        <v>102954</v>
      </c>
      <c r="D79" t="s">
        <v>170</v>
      </c>
      <c r="E79" t="s">
        <v>171</v>
      </c>
      <c r="F79" t="s">
        <v>488</v>
      </c>
      <c r="G79" t="s">
        <v>489</v>
      </c>
      <c r="H79" t="s">
        <v>41</v>
      </c>
      <c r="I79">
        <v>1</v>
      </c>
      <c r="J79" s="4">
        <v>44331</v>
      </c>
      <c r="K79" s="4">
        <v>44331</v>
      </c>
      <c r="N79">
        <v>55.556330000000003</v>
      </c>
      <c r="O79">
        <v>13.86158</v>
      </c>
      <c r="P79">
        <v>428190</v>
      </c>
      <c r="Q79">
        <v>6157290</v>
      </c>
      <c r="R79" t="s">
        <v>490</v>
      </c>
      <c r="S79">
        <v>139</v>
      </c>
      <c r="T79" t="s">
        <v>647</v>
      </c>
      <c r="U79" t="s">
        <v>532</v>
      </c>
      <c r="V79" t="s">
        <v>504</v>
      </c>
      <c r="W79" t="s">
        <v>494</v>
      </c>
      <c r="X79" t="s">
        <v>494</v>
      </c>
      <c r="Y79" t="s">
        <v>648</v>
      </c>
      <c r="Z79">
        <v>1</v>
      </c>
      <c r="AA79">
        <v>1</v>
      </c>
      <c r="AE79" t="s">
        <v>42</v>
      </c>
      <c r="AF79" t="s">
        <v>496</v>
      </c>
      <c r="AG79" t="b">
        <v>0</v>
      </c>
      <c r="AH79" t="b">
        <v>0</v>
      </c>
      <c r="AI79" t="b">
        <v>0</v>
      </c>
      <c r="AK79" t="s">
        <v>497</v>
      </c>
      <c r="AL79" t="b">
        <v>0</v>
      </c>
      <c r="AM79" t="b">
        <v>0</v>
      </c>
    </row>
    <row r="80" spans="1:39">
      <c r="A80" t="s">
        <v>649</v>
      </c>
      <c r="B80" t="b">
        <v>1</v>
      </c>
      <c r="C80">
        <v>102977</v>
      </c>
      <c r="D80" t="s">
        <v>47</v>
      </c>
      <c r="E80" t="s">
        <v>48</v>
      </c>
      <c r="F80" t="s">
        <v>488</v>
      </c>
      <c r="G80" t="s">
        <v>489</v>
      </c>
      <c r="H80" t="s">
        <v>46</v>
      </c>
      <c r="I80">
        <v>1</v>
      </c>
      <c r="J80" s="4">
        <v>42832</v>
      </c>
      <c r="K80" s="4">
        <v>42832</v>
      </c>
      <c r="N80">
        <v>55.556330000000003</v>
      </c>
      <c r="O80">
        <v>13.86158</v>
      </c>
      <c r="P80">
        <v>428190</v>
      </c>
      <c r="Q80">
        <v>6157290</v>
      </c>
      <c r="R80" t="s">
        <v>490</v>
      </c>
      <c r="S80">
        <v>139</v>
      </c>
      <c r="T80" t="s">
        <v>647</v>
      </c>
      <c r="U80" t="s">
        <v>532</v>
      </c>
      <c r="V80" t="s">
        <v>504</v>
      </c>
      <c r="W80" t="s">
        <v>494</v>
      </c>
      <c r="X80" t="s">
        <v>494</v>
      </c>
      <c r="Y80" t="s">
        <v>536</v>
      </c>
      <c r="Z80">
        <v>1</v>
      </c>
      <c r="AA80">
        <v>1</v>
      </c>
      <c r="AE80" t="s">
        <v>42</v>
      </c>
      <c r="AF80" t="s">
        <v>496</v>
      </c>
      <c r="AG80" t="b">
        <v>0</v>
      </c>
      <c r="AH80" t="b">
        <v>0</v>
      </c>
      <c r="AI80" t="b">
        <v>0</v>
      </c>
      <c r="AK80" t="s">
        <v>497</v>
      </c>
      <c r="AL80" t="b">
        <v>0</v>
      </c>
      <c r="AM80" t="b">
        <v>0</v>
      </c>
    </row>
    <row r="81" spans="1:39">
      <c r="A81" t="s">
        <v>650</v>
      </c>
      <c r="B81" t="b">
        <v>1</v>
      </c>
      <c r="C81">
        <v>102975</v>
      </c>
      <c r="D81" t="s">
        <v>255</v>
      </c>
      <c r="E81" t="s">
        <v>256</v>
      </c>
      <c r="F81" t="s">
        <v>488</v>
      </c>
      <c r="G81" t="s">
        <v>489</v>
      </c>
      <c r="H81" t="s">
        <v>81</v>
      </c>
      <c r="I81">
        <v>1</v>
      </c>
      <c r="J81" s="4">
        <v>44868</v>
      </c>
      <c r="K81" s="4">
        <v>44868</v>
      </c>
      <c r="L81" s="5">
        <v>0.69791666666666663</v>
      </c>
      <c r="M81" s="5">
        <v>0.72916666666666663</v>
      </c>
      <c r="N81">
        <v>55.530740000000002</v>
      </c>
      <c r="O81">
        <v>13.879630000000001</v>
      </c>
      <c r="P81">
        <v>429282</v>
      </c>
      <c r="Q81">
        <v>6154424</v>
      </c>
      <c r="R81" t="s">
        <v>490</v>
      </c>
      <c r="S81">
        <v>310</v>
      </c>
      <c r="T81" t="s">
        <v>499</v>
      </c>
      <c r="U81" t="s">
        <v>492</v>
      </c>
      <c r="V81" t="s">
        <v>493</v>
      </c>
      <c r="W81" t="s">
        <v>494</v>
      </c>
      <c r="X81" t="s">
        <v>494</v>
      </c>
      <c r="Y81" t="s">
        <v>536</v>
      </c>
      <c r="Z81">
        <v>1</v>
      </c>
      <c r="AA81">
        <v>1</v>
      </c>
      <c r="AE81" t="s">
        <v>42</v>
      </c>
      <c r="AF81" t="s">
        <v>496</v>
      </c>
      <c r="AG81" t="b">
        <v>0</v>
      </c>
      <c r="AH81" t="b">
        <v>0</v>
      </c>
      <c r="AI81" t="b">
        <v>0</v>
      </c>
      <c r="AK81" t="s">
        <v>497</v>
      </c>
      <c r="AL81" t="b">
        <v>0</v>
      </c>
      <c r="AM81" t="b">
        <v>0</v>
      </c>
    </row>
    <row r="82" spans="1:39">
      <c r="A82" t="s">
        <v>651</v>
      </c>
      <c r="B82" t="b">
        <v>1</v>
      </c>
      <c r="C82">
        <v>100065</v>
      </c>
      <c r="D82" t="s">
        <v>138</v>
      </c>
      <c r="E82" t="s">
        <v>139</v>
      </c>
      <c r="F82" t="s">
        <v>488</v>
      </c>
      <c r="G82" t="s">
        <v>489</v>
      </c>
      <c r="H82" t="s">
        <v>46</v>
      </c>
      <c r="I82">
        <v>1</v>
      </c>
      <c r="J82" s="4">
        <v>45079</v>
      </c>
      <c r="K82" s="4">
        <v>45079</v>
      </c>
      <c r="L82" s="5">
        <v>0.70833333333333337</v>
      </c>
      <c r="M82" s="5">
        <v>0.75</v>
      </c>
      <c r="N82">
        <v>55.515189999999997</v>
      </c>
      <c r="O82">
        <v>13.899330000000001</v>
      </c>
      <c r="P82">
        <v>430498</v>
      </c>
      <c r="Q82">
        <v>6152673</v>
      </c>
      <c r="R82" t="s">
        <v>490</v>
      </c>
      <c r="S82">
        <v>125</v>
      </c>
      <c r="T82" t="s">
        <v>552</v>
      </c>
      <c r="U82" t="s">
        <v>525</v>
      </c>
      <c r="V82" t="s">
        <v>504</v>
      </c>
      <c r="W82" t="s">
        <v>494</v>
      </c>
      <c r="X82" t="s">
        <v>494</v>
      </c>
      <c r="Y82" t="s">
        <v>536</v>
      </c>
      <c r="Z82">
        <v>2</v>
      </c>
      <c r="AA82">
        <v>2</v>
      </c>
      <c r="AD82" t="s">
        <v>527</v>
      </c>
      <c r="AE82" t="s">
        <v>538</v>
      </c>
      <c r="AF82" t="s">
        <v>496</v>
      </c>
      <c r="AG82" t="b">
        <v>0</v>
      </c>
      <c r="AH82" t="b">
        <v>0</v>
      </c>
      <c r="AI82" t="b">
        <v>0</v>
      </c>
      <c r="AK82" t="s">
        <v>497</v>
      </c>
      <c r="AL82" t="b">
        <v>0</v>
      </c>
      <c r="AM82" t="b">
        <v>0</v>
      </c>
    </row>
    <row r="83" spans="1:39">
      <c r="A83" t="s">
        <v>652</v>
      </c>
      <c r="B83" t="b">
        <v>1</v>
      </c>
      <c r="C83">
        <v>102980</v>
      </c>
      <c r="D83" t="s">
        <v>354</v>
      </c>
      <c r="E83" t="s">
        <v>355</v>
      </c>
      <c r="F83" t="s">
        <v>488</v>
      </c>
      <c r="G83" t="s">
        <v>489</v>
      </c>
      <c r="H83" t="s">
        <v>41</v>
      </c>
      <c r="I83">
        <v>1</v>
      </c>
      <c r="J83" s="4">
        <v>45050</v>
      </c>
      <c r="K83" s="4">
        <v>45050</v>
      </c>
      <c r="L83" s="5">
        <v>0.70833333333333337</v>
      </c>
      <c r="M83" s="5">
        <v>0.75</v>
      </c>
      <c r="N83">
        <v>55.532499999999999</v>
      </c>
      <c r="O83">
        <v>13.88603</v>
      </c>
      <c r="P83">
        <v>429690</v>
      </c>
      <c r="Q83">
        <v>6154614</v>
      </c>
      <c r="R83" t="s">
        <v>490</v>
      </c>
      <c r="S83">
        <v>804</v>
      </c>
      <c r="T83" t="s">
        <v>653</v>
      </c>
      <c r="U83" t="s">
        <v>525</v>
      </c>
      <c r="V83" t="s">
        <v>504</v>
      </c>
      <c r="W83" t="s">
        <v>494</v>
      </c>
      <c r="X83" t="s">
        <v>494</v>
      </c>
      <c r="Y83" t="s">
        <v>654</v>
      </c>
      <c r="Z83">
        <v>6</v>
      </c>
      <c r="AA83">
        <v>6</v>
      </c>
      <c r="AC83" t="s">
        <v>512</v>
      </c>
      <c r="AD83" t="s">
        <v>527</v>
      </c>
      <c r="AE83" t="s">
        <v>51</v>
      </c>
      <c r="AF83" t="s">
        <v>496</v>
      </c>
      <c r="AG83" t="b">
        <v>0</v>
      </c>
      <c r="AH83" t="b">
        <v>0</v>
      </c>
      <c r="AI83" t="b">
        <v>0</v>
      </c>
      <c r="AK83" t="s">
        <v>497</v>
      </c>
      <c r="AL83" t="b">
        <v>0</v>
      </c>
      <c r="AM83" t="b">
        <v>0</v>
      </c>
    </row>
    <row r="84" spans="1:39">
      <c r="A84" t="s">
        <v>655</v>
      </c>
      <c r="B84" t="b">
        <v>1</v>
      </c>
      <c r="C84">
        <v>100049</v>
      </c>
      <c r="D84" t="s">
        <v>295</v>
      </c>
      <c r="E84" t="s">
        <v>296</v>
      </c>
      <c r="F84" t="s">
        <v>488</v>
      </c>
      <c r="G84" t="s">
        <v>489</v>
      </c>
      <c r="H84" t="s">
        <v>46</v>
      </c>
      <c r="I84">
        <v>1</v>
      </c>
      <c r="J84" s="4">
        <v>44668</v>
      </c>
      <c r="K84" s="4">
        <v>44668</v>
      </c>
      <c r="L84" s="5">
        <v>0.5625</v>
      </c>
      <c r="M84" s="5">
        <v>0.59375</v>
      </c>
      <c r="N84">
        <v>55.515189999999997</v>
      </c>
      <c r="O84">
        <v>13.899330000000001</v>
      </c>
      <c r="P84">
        <v>430498</v>
      </c>
      <c r="Q84">
        <v>6152673</v>
      </c>
      <c r="R84" t="s">
        <v>490</v>
      </c>
      <c r="S84">
        <v>125</v>
      </c>
      <c r="T84" t="s">
        <v>552</v>
      </c>
      <c r="U84" t="s">
        <v>525</v>
      </c>
      <c r="V84" t="s">
        <v>504</v>
      </c>
      <c r="W84" t="s">
        <v>494</v>
      </c>
      <c r="X84" t="s">
        <v>494</v>
      </c>
      <c r="Y84" t="s">
        <v>536</v>
      </c>
      <c r="Z84">
        <v>1</v>
      </c>
      <c r="AA84">
        <v>1</v>
      </c>
      <c r="AE84" t="s">
        <v>538</v>
      </c>
      <c r="AF84" t="s">
        <v>496</v>
      </c>
      <c r="AG84" t="b">
        <v>0</v>
      </c>
      <c r="AH84" t="b">
        <v>0</v>
      </c>
      <c r="AI84" t="b">
        <v>0</v>
      </c>
      <c r="AK84" t="s">
        <v>497</v>
      </c>
      <c r="AL84" t="b">
        <v>0</v>
      </c>
      <c r="AM84" t="b">
        <v>0</v>
      </c>
    </row>
    <row r="85" spans="1:39">
      <c r="A85" t="s">
        <v>656</v>
      </c>
      <c r="B85" t="b">
        <v>1</v>
      </c>
      <c r="C85">
        <v>102930</v>
      </c>
      <c r="D85" t="s">
        <v>86</v>
      </c>
      <c r="E85" t="s">
        <v>87</v>
      </c>
      <c r="F85" t="s">
        <v>488</v>
      </c>
      <c r="G85" t="s">
        <v>489</v>
      </c>
      <c r="H85" t="s">
        <v>41</v>
      </c>
      <c r="I85">
        <v>1</v>
      </c>
      <c r="J85" s="4">
        <v>45431</v>
      </c>
      <c r="K85" s="4">
        <v>45431</v>
      </c>
      <c r="L85" s="5">
        <v>0.51041666666666663</v>
      </c>
      <c r="M85" s="5">
        <v>0.60416666666666663</v>
      </c>
      <c r="N85">
        <v>55.515189999999997</v>
      </c>
      <c r="O85">
        <v>13.899330000000001</v>
      </c>
      <c r="P85">
        <v>430498</v>
      </c>
      <c r="Q85">
        <v>6152673</v>
      </c>
      <c r="R85" t="s">
        <v>490</v>
      </c>
      <c r="S85">
        <v>125</v>
      </c>
      <c r="T85" t="s">
        <v>552</v>
      </c>
      <c r="U85" t="s">
        <v>525</v>
      </c>
      <c r="V85" t="s">
        <v>504</v>
      </c>
      <c r="W85" t="s">
        <v>494</v>
      </c>
      <c r="X85" t="s">
        <v>494</v>
      </c>
      <c r="Y85" t="s">
        <v>536</v>
      </c>
      <c r="Z85">
        <v>2</v>
      </c>
      <c r="AA85">
        <v>2</v>
      </c>
      <c r="AD85" t="s">
        <v>527</v>
      </c>
      <c r="AE85" t="s">
        <v>538</v>
      </c>
      <c r="AF85" t="s">
        <v>496</v>
      </c>
      <c r="AG85" t="b">
        <v>0</v>
      </c>
      <c r="AH85" t="b">
        <v>0</v>
      </c>
      <c r="AI85" t="b">
        <v>0</v>
      </c>
      <c r="AK85" t="s">
        <v>497</v>
      </c>
      <c r="AL85" t="b">
        <v>0</v>
      </c>
      <c r="AM85" t="b">
        <v>0</v>
      </c>
    </row>
    <row r="86" spans="1:39">
      <c r="A86" t="s">
        <v>657</v>
      </c>
      <c r="B86" t="b">
        <v>1</v>
      </c>
      <c r="C86">
        <v>100124</v>
      </c>
      <c r="D86" t="s">
        <v>352</v>
      </c>
      <c r="E86" t="s">
        <v>353</v>
      </c>
      <c r="F86" t="s">
        <v>488</v>
      </c>
      <c r="G86" t="s">
        <v>489</v>
      </c>
      <c r="H86" t="s">
        <v>81</v>
      </c>
      <c r="I86">
        <v>1</v>
      </c>
      <c r="J86" s="4">
        <v>45536</v>
      </c>
      <c r="K86" s="4">
        <v>45536</v>
      </c>
      <c r="L86" s="5">
        <v>0.44444444444444442</v>
      </c>
      <c r="M86" s="5">
        <v>0.47916666666666669</v>
      </c>
      <c r="N86">
        <v>55.548569999999998</v>
      </c>
      <c r="O86">
        <v>13.97132</v>
      </c>
      <c r="P86">
        <v>435099</v>
      </c>
      <c r="Q86">
        <v>6156319</v>
      </c>
      <c r="R86" t="s">
        <v>490</v>
      </c>
      <c r="S86">
        <v>200</v>
      </c>
      <c r="T86" t="s">
        <v>658</v>
      </c>
      <c r="U86" t="s">
        <v>508</v>
      </c>
      <c r="V86" t="s">
        <v>504</v>
      </c>
      <c r="W86" t="s">
        <v>494</v>
      </c>
      <c r="X86" t="s">
        <v>494</v>
      </c>
      <c r="Y86" t="s">
        <v>536</v>
      </c>
      <c r="Z86">
        <v>4</v>
      </c>
      <c r="AA86">
        <v>4</v>
      </c>
      <c r="AC86" t="s">
        <v>519</v>
      </c>
      <c r="AE86" t="s">
        <v>431</v>
      </c>
      <c r="AF86" t="s">
        <v>496</v>
      </c>
      <c r="AG86" t="b">
        <v>0</v>
      </c>
      <c r="AH86" t="b">
        <v>0</v>
      </c>
      <c r="AI86" t="b">
        <v>0</v>
      </c>
      <c r="AK86" t="s">
        <v>497</v>
      </c>
      <c r="AL86" t="b">
        <v>0</v>
      </c>
      <c r="AM86" t="b">
        <v>0</v>
      </c>
    </row>
    <row r="87" spans="1:39">
      <c r="A87" t="s">
        <v>659</v>
      </c>
      <c r="B87" t="b">
        <v>1</v>
      </c>
      <c r="C87">
        <v>100124</v>
      </c>
      <c r="D87" t="s">
        <v>352</v>
      </c>
      <c r="E87" t="s">
        <v>353</v>
      </c>
      <c r="F87" t="s">
        <v>488</v>
      </c>
      <c r="G87" t="s">
        <v>489</v>
      </c>
      <c r="H87" t="s">
        <v>81</v>
      </c>
      <c r="I87">
        <v>1</v>
      </c>
      <c r="J87" s="4">
        <v>45536</v>
      </c>
      <c r="K87" s="4">
        <v>45536</v>
      </c>
      <c r="L87" s="5">
        <v>0.44444444444444442</v>
      </c>
      <c r="M87" s="5">
        <v>0.47916666666666669</v>
      </c>
      <c r="N87">
        <v>55.548569999999998</v>
      </c>
      <c r="O87">
        <v>13.97132</v>
      </c>
      <c r="P87">
        <v>435099</v>
      </c>
      <c r="Q87">
        <v>6156319</v>
      </c>
      <c r="R87" t="s">
        <v>490</v>
      </c>
      <c r="S87">
        <v>200</v>
      </c>
      <c r="T87" t="s">
        <v>658</v>
      </c>
      <c r="U87" t="s">
        <v>508</v>
      </c>
      <c r="V87" t="s">
        <v>504</v>
      </c>
      <c r="W87" t="s">
        <v>494</v>
      </c>
      <c r="X87" t="s">
        <v>494</v>
      </c>
      <c r="Y87" t="s">
        <v>536</v>
      </c>
      <c r="Z87">
        <v>8</v>
      </c>
      <c r="AA87">
        <v>8</v>
      </c>
      <c r="AC87" t="s">
        <v>512</v>
      </c>
      <c r="AE87" t="s">
        <v>62</v>
      </c>
      <c r="AF87" t="s">
        <v>496</v>
      </c>
      <c r="AG87" t="b">
        <v>0</v>
      </c>
      <c r="AH87" t="b">
        <v>0</v>
      </c>
      <c r="AI87" t="b">
        <v>0</v>
      </c>
      <c r="AK87" t="s">
        <v>497</v>
      </c>
      <c r="AL87" t="b">
        <v>0</v>
      </c>
      <c r="AM87" t="b">
        <v>0</v>
      </c>
    </row>
    <row r="88" spans="1:39">
      <c r="A88" t="s">
        <v>660</v>
      </c>
      <c r="B88" t="b">
        <v>1</v>
      </c>
      <c r="C88">
        <v>102977</v>
      </c>
      <c r="D88" t="s">
        <v>47</v>
      </c>
      <c r="E88" t="s">
        <v>48</v>
      </c>
      <c r="F88" t="s">
        <v>488</v>
      </c>
      <c r="G88" t="s">
        <v>489</v>
      </c>
      <c r="H88" t="s">
        <v>46</v>
      </c>
      <c r="I88">
        <v>1</v>
      </c>
      <c r="J88" s="4">
        <v>45349</v>
      </c>
      <c r="K88" s="4">
        <v>45349</v>
      </c>
      <c r="L88" s="5">
        <v>0.32569444444444445</v>
      </c>
      <c r="M88" s="5">
        <v>0.37083333333333335</v>
      </c>
      <c r="N88">
        <v>55.530740000000002</v>
      </c>
      <c r="O88">
        <v>13.879630000000001</v>
      </c>
      <c r="P88">
        <v>429282</v>
      </c>
      <c r="Q88">
        <v>6154424</v>
      </c>
      <c r="R88" t="s">
        <v>490</v>
      </c>
      <c r="S88">
        <v>310</v>
      </c>
      <c r="T88" t="s">
        <v>499</v>
      </c>
      <c r="U88" t="s">
        <v>492</v>
      </c>
      <c r="V88" t="s">
        <v>493</v>
      </c>
      <c r="W88" t="s">
        <v>494</v>
      </c>
      <c r="X88" t="s">
        <v>494</v>
      </c>
      <c r="Y88" t="s">
        <v>661</v>
      </c>
      <c r="Z88">
        <v>1</v>
      </c>
      <c r="AA88">
        <v>1</v>
      </c>
      <c r="AE88" t="s">
        <v>42</v>
      </c>
      <c r="AF88" t="s">
        <v>496</v>
      </c>
      <c r="AG88" t="b">
        <v>0</v>
      </c>
      <c r="AH88" t="b">
        <v>0</v>
      </c>
      <c r="AI88" t="b">
        <v>0</v>
      </c>
      <c r="AK88" t="s">
        <v>497</v>
      </c>
      <c r="AL88" t="b">
        <v>0</v>
      </c>
      <c r="AM88" t="b">
        <v>0</v>
      </c>
    </row>
    <row r="89" spans="1:39">
      <c r="A89" t="s">
        <v>662</v>
      </c>
      <c r="B89" t="b">
        <v>1</v>
      </c>
      <c r="C89">
        <v>102990</v>
      </c>
      <c r="D89" t="s">
        <v>39</v>
      </c>
      <c r="E89" t="s">
        <v>40</v>
      </c>
      <c r="F89" t="s">
        <v>488</v>
      </c>
      <c r="G89" t="s">
        <v>489</v>
      </c>
      <c r="H89" t="s">
        <v>41</v>
      </c>
      <c r="I89">
        <v>1</v>
      </c>
      <c r="J89" s="4">
        <v>45410</v>
      </c>
      <c r="K89" s="4">
        <v>45410</v>
      </c>
      <c r="L89" s="5">
        <v>0.38333333333333336</v>
      </c>
      <c r="M89" s="5">
        <v>0.48888888888888887</v>
      </c>
      <c r="N89">
        <v>55.527650000000001</v>
      </c>
      <c r="O89">
        <v>13.900119999999999</v>
      </c>
      <c r="P89">
        <v>430570</v>
      </c>
      <c r="Q89">
        <v>6154060</v>
      </c>
      <c r="R89" t="s">
        <v>490</v>
      </c>
      <c r="S89">
        <v>250</v>
      </c>
      <c r="T89" t="s">
        <v>578</v>
      </c>
      <c r="U89" t="s">
        <v>525</v>
      </c>
      <c r="V89" t="s">
        <v>504</v>
      </c>
      <c r="W89" t="s">
        <v>494</v>
      </c>
      <c r="X89" t="s">
        <v>494</v>
      </c>
      <c r="Y89" t="s">
        <v>663</v>
      </c>
      <c r="Z89">
        <v>1</v>
      </c>
      <c r="AA89">
        <v>1</v>
      </c>
      <c r="AE89" t="s">
        <v>42</v>
      </c>
      <c r="AF89" t="s">
        <v>496</v>
      </c>
      <c r="AG89" t="b">
        <v>0</v>
      </c>
      <c r="AH89" t="b">
        <v>0</v>
      </c>
      <c r="AI89" t="b">
        <v>0</v>
      </c>
      <c r="AK89" t="s">
        <v>497</v>
      </c>
      <c r="AL89" t="b">
        <v>0</v>
      </c>
      <c r="AM89" t="b">
        <v>0</v>
      </c>
    </row>
    <row r="90" spans="1:39">
      <c r="A90" t="s">
        <v>664</v>
      </c>
      <c r="B90" t="b">
        <v>1</v>
      </c>
      <c r="C90">
        <v>102119</v>
      </c>
      <c r="D90" t="s">
        <v>291</v>
      </c>
      <c r="E90" t="s">
        <v>292</v>
      </c>
      <c r="F90" t="s">
        <v>488</v>
      </c>
      <c r="G90" t="s">
        <v>489</v>
      </c>
      <c r="H90" t="s">
        <v>41</v>
      </c>
      <c r="I90">
        <v>1</v>
      </c>
      <c r="J90" s="4">
        <v>45089</v>
      </c>
      <c r="K90" s="4">
        <v>45089</v>
      </c>
      <c r="N90">
        <v>55.530740000000002</v>
      </c>
      <c r="O90">
        <v>13.879630000000001</v>
      </c>
      <c r="P90">
        <v>429282</v>
      </c>
      <c r="Q90">
        <v>6154424</v>
      </c>
      <c r="R90" t="s">
        <v>490</v>
      </c>
      <c r="S90">
        <v>310</v>
      </c>
      <c r="T90" t="s">
        <v>499</v>
      </c>
      <c r="U90" t="s">
        <v>492</v>
      </c>
      <c r="V90" t="s">
        <v>493</v>
      </c>
      <c r="W90" t="s">
        <v>494</v>
      </c>
      <c r="X90" t="s">
        <v>494</v>
      </c>
      <c r="Y90" t="s">
        <v>665</v>
      </c>
      <c r="Z90">
        <v>1</v>
      </c>
      <c r="AA90">
        <v>1</v>
      </c>
      <c r="AE90" t="s">
        <v>42</v>
      </c>
      <c r="AF90" t="s">
        <v>496</v>
      </c>
      <c r="AG90" t="b">
        <v>0</v>
      </c>
      <c r="AH90" t="b">
        <v>0</v>
      </c>
      <c r="AI90" t="b">
        <v>0</v>
      </c>
      <c r="AK90" t="s">
        <v>497</v>
      </c>
      <c r="AL90" t="b">
        <v>0</v>
      </c>
      <c r="AM90" t="b">
        <v>0</v>
      </c>
    </row>
    <row r="91" spans="1:39">
      <c r="A91" t="s">
        <v>666</v>
      </c>
      <c r="B91" t="b">
        <v>1</v>
      </c>
      <c r="C91">
        <v>100048</v>
      </c>
      <c r="D91" t="s">
        <v>304</v>
      </c>
      <c r="E91" t="s">
        <v>305</v>
      </c>
      <c r="F91" t="s">
        <v>488</v>
      </c>
      <c r="G91" t="s">
        <v>489</v>
      </c>
      <c r="H91" t="s">
        <v>41</v>
      </c>
      <c r="I91">
        <v>1</v>
      </c>
      <c r="J91" s="4">
        <v>45025</v>
      </c>
      <c r="K91" s="4">
        <v>45025</v>
      </c>
      <c r="L91" s="5">
        <v>0.56111111111111112</v>
      </c>
      <c r="M91" s="5">
        <v>0.56111111111111112</v>
      </c>
      <c r="N91">
        <v>55.530549999999998</v>
      </c>
      <c r="O91">
        <v>13.88076</v>
      </c>
      <c r="P91">
        <v>429353</v>
      </c>
      <c r="Q91">
        <v>6154402</v>
      </c>
      <c r="R91" t="s">
        <v>490</v>
      </c>
      <c r="S91">
        <v>10</v>
      </c>
      <c r="T91" t="s">
        <v>667</v>
      </c>
      <c r="U91" t="s">
        <v>516</v>
      </c>
      <c r="V91" t="s">
        <v>493</v>
      </c>
      <c r="W91" t="s">
        <v>494</v>
      </c>
      <c r="X91" t="s">
        <v>494</v>
      </c>
      <c r="Y91" t="s">
        <v>668</v>
      </c>
      <c r="Z91">
        <v>1</v>
      </c>
      <c r="AA91">
        <v>1</v>
      </c>
      <c r="AE91" t="s">
        <v>42</v>
      </c>
      <c r="AF91" t="s">
        <v>496</v>
      </c>
      <c r="AG91" t="b">
        <v>0</v>
      </c>
      <c r="AH91" t="b">
        <v>0</v>
      </c>
      <c r="AI91" t="b">
        <v>0</v>
      </c>
      <c r="AK91" t="s">
        <v>497</v>
      </c>
      <c r="AL91" t="b">
        <v>0</v>
      </c>
      <c r="AM91" t="b">
        <v>0</v>
      </c>
    </row>
    <row r="92" spans="1:39">
      <c r="A92" t="s">
        <v>669</v>
      </c>
      <c r="B92" t="b">
        <v>1</v>
      </c>
      <c r="C92">
        <v>103055</v>
      </c>
      <c r="D92" t="s">
        <v>413</v>
      </c>
      <c r="E92" t="s">
        <v>414</v>
      </c>
      <c r="F92" t="s">
        <v>488</v>
      </c>
      <c r="G92" t="s">
        <v>489</v>
      </c>
      <c r="H92" t="s">
        <v>41</v>
      </c>
      <c r="I92">
        <v>1</v>
      </c>
      <c r="J92" s="4">
        <v>45812</v>
      </c>
      <c r="K92" s="4">
        <v>45812</v>
      </c>
      <c r="L92" s="5">
        <v>0.34722222222222221</v>
      </c>
      <c r="M92" s="5">
        <v>0.34722222222222221</v>
      </c>
      <c r="N92">
        <v>55.545160000000003</v>
      </c>
      <c r="O92">
        <v>13.88523</v>
      </c>
      <c r="P92">
        <v>429662</v>
      </c>
      <c r="Q92">
        <v>6156023</v>
      </c>
      <c r="R92" t="s">
        <v>490</v>
      </c>
      <c r="S92">
        <v>300</v>
      </c>
      <c r="T92" t="s">
        <v>670</v>
      </c>
      <c r="U92" t="s">
        <v>525</v>
      </c>
      <c r="V92" t="s">
        <v>504</v>
      </c>
      <c r="W92" t="s">
        <v>494</v>
      </c>
      <c r="X92" t="s">
        <v>494</v>
      </c>
      <c r="Y92" t="s">
        <v>671</v>
      </c>
      <c r="Z92">
        <v>1</v>
      </c>
      <c r="AA92">
        <v>1</v>
      </c>
      <c r="AD92" t="s">
        <v>510</v>
      </c>
      <c r="AE92" t="s">
        <v>42</v>
      </c>
      <c r="AF92" t="s">
        <v>496</v>
      </c>
      <c r="AG92" t="b">
        <v>0</v>
      </c>
      <c r="AH92" t="b">
        <v>0</v>
      </c>
      <c r="AI92" t="b">
        <v>0</v>
      </c>
      <c r="AK92" t="s">
        <v>497</v>
      </c>
      <c r="AL92" t="b">
        <v>0</v>
      </c>
      <c r="AM92" t="b">
        <v>0</v>
      </c>
    </row>
    <row r="93" spans="1:39">
      <c r="A93" t="s">
        <v>672</v>
      </c>
      <c r="B93" t="b">
        <v>1</v>
      </c>
      <c r="C93">
        <v>103037</v>
      </c>
      <c r="D93" t="s">
        <v>368</v>
      </c>
      <c r="E93" t="s">
        <v>369</v>
      </c>
      <c r="F93" t="s">
        <v>488</v>
      </c>
      <c r="G93" t="s">
        <v>489</v>
      </c>
      <c r="H93" t="s">
        <v>85</v>
      </c>
      <c r="I93">
        <v>1</v>
      </c>
      <c r="J93" s="4">
        <v>43599</v>
      </c>
      <c r="K93" s="4">
        <v>43599</v>
      </c>
      <c r="L93" s="5">
        <v>0.41666666666666669</v>
      </c>
      <c r="M93" s="5">
        <v>0.4861111111111111</v>
      </c>
      <c r="N93">
        <v>55.527419999999999</v>
      </c>
      <c r="O93">
        <v>13.90283</v>
      </c>
      <c r="P93">
        <v>430741</v>
      </c>
      <c r="Q93">
        <v>6154031</v>
      </c>
      <c r="R93" t="s">
        <v>490</v>
      </c>
      <c r="S93">
        <v>400</v>
      </c>
      <c r="T93" t="s">
        <v>673</v>
      </c>
      <c r="U93" t="s">
        <v>525</v>
      </c>
      <c r="V93" t="s">
        <v>504</v>
      </c>
      <c r="W93" t="s">
        <v>494</v>
      </c>
      <c r="X93" t="s">
        <v>494</v>
      </c>
      <c r="Y93" t="s">
        <v>536</v>
      </c>
      <c r="Z93">
        <v>2</v>
      </c>
      <c r="AA93">
        <v>2</v>
      </c>
      <c r="AE93" t="s">
        <v>431</v>
      </c>
      <c r="AF93" t="s">
        <v>496</v>
      </c>
      <c r="AG93" t="b">
        <v>0</v>
      </c>
      <c r="AH93" t="b">
        <v>0</v>
      </c>
      <c r="AI93" t="b">
        <v>0</v>
      </c>
      <c r="AK93" t="s">
        <v>497</v>
      </c>
      <c r="AL93" t="b">
        <v>0</v>
      </c>
      <c r="AM93" t="b">
        <v>0</v>
      </c>
    </row>
    <row r="94" spans="1:39">
      <c r="A94" t="s">
        <v>674</v>
      </c>
      <c r="B94" t="b">
        <v>1</v>
      </c>
      <c r="C94">
        <v>100091</v>
      </c>
      <c r="D94" t="s">
        <v>162</v>
      </c>
      <c r="E94" t="s">
        <v>163</v>
      </c>
      <c r="F94" t="s">
        <v>488</v>
      </c>
      <c r="G94" t="s">
        <v>489</v>
      </c>
      <c r="H94" t="s">
        <v>81</v>
      </c>
      <c r="I94">
        <v>1</v>
      </c>
      <c r="J94" s="4">
        <v>42158</v>
      </c>
      <c r="K94" s="4">
        <v>42158</v>
      </c>
      <c r="L94" s="5">
        <v>0.75</v>
      </c>
      <c r="M94" s="5">
        <v>0.75</v>
      </c>
      <c r="N94">
        <v>55.562449999999998</v>
      </c>
      <c r="O94">
        <v>13.921720000000001</v>
      </c>
      <c r="P94">
        <v>431994</v>
      </c>
      <c r="Q94">
        <v>6157911</v>
      </c>
      <c r="R94" t="s">
        <v>490</v>
      </c>
      <c r="S94">
        <v>100</v>
      </c>
      <c r="T94" t="s">
        <v>675</v>
      </c>
      <c r="U94" t="s">
        <v>508</v>
      </c>
      <c r="V94" t="s">
        <v>504</v>
      </c>
      <c r="W94" t="s">
        <v>494</v>
      </c>
      <c r="X94" t="s">
        <v>494</v>
      </c>
      <c r="Y94" t="s">
        <v>676</v>
      </c>
      <c r="Z94">
        <v>1</v>
      </c>
      <c r="AA94">
        <v>1</v>
      </c>
      <c r="AE94" t="s">
        <v>42</v>
      </c>
      <c r="AF94" t="s">
        <v>496</v>
      </c>
      <c r="AG94" t="b">
        <v>0</v>
      </c>
      <c r="AH94" t="b">
        <v>0</v>
      </c>
      <c r="AI94" t="b">
        <v>0</v>
      </c>
      <c r="AK94" t="s">
        <v>497</v>
      </c>
      <c r="AL94" t="b">
        <v>0</v>
      </c>
      <c r="AM94" t="b">
        <v>0</v>
      </c>
    </row>
    <row r="95" spans="1:39">
      <c r="A95" t="s">
        <v>677</v>
      </c>
      <c r="B95" t="b">
        <v>1</v>
      </c>
      <c r="C95">
        <v>102932</v>
      </c>
      <c r="D95" t="s">
        <v>116</v>
      </c>
      <c r="E95" t="s">
        <v>117</v>
      </c>
      <c r="F95" t="s">
        <v>488</v>
      </c>
      <c r="G95" t="s">
        <v>489</v>
      </c>
      <c r="H95" t="s">
        <v>41</v>
      </c>
      <c r="I95">
        <v>1</v>
      </c>
      <c r="J95" s="4">
        <v>39187</v>
      </c>
      <c r="K95" s="4">
        <v>39187</v>
      </c>
      <c r="L95" s="5">
        <v>0</v>
      </c>
      <c r="M95" s="5">
        <v>0</v>
      </c>
      <c r="N95">
        <v>55.530740000000002</v>
      </c>
      <c r="O95">
        <v>13.879630000000001</v>
      </c>
      <c r="P95">
        <v>429282</v>
      </c>
      <c r="Q95">
        <v>6154424</v>
      </c>
      <c r="R95" t="s">
        <v>490</v>
      </c>
      <c r="S95">
        <v>310</v>
      </c>
      <c r="T95" t="s">
        <v>499</v>
      </c>
      <c r="U95" t="s">
        <v>492</v>
      </c>
      <c r="V95" t="s">
        <v>493</v>
      </c>
      <c r="W95" t="s">
        <v>494</v>
      </c>
      <c r="X95" t="s">
        <v>494</v>
      </c>
      <c r="Y95" t="s">
        <v>678</v>
      </c>
      <c r="Z95">
        <v>15</v>
      </c>
      <c r="AA95">
        <v>15</v>
      </c>
      <c r="AE95" t="s">
        <v>538</v>
      </c>
      <c r="AF95" t="s">
        <v>496</v>
      </c>
      <c r="AG95" t="b">
        <v>0</v>
      </c>
      <c r="AH95" t="b">
        <v>0</v>
      </c>
      <c r="AI95" t="b">
        <v>0</v>
      </c>
      <c r="AK95" t="s">
        <v>497</v>
      </c>
      <c r="AL95" t="b">
        <v>0</v>
      </c>
      <c r="AM95" t="b">
        <v>0</v>
      </c>
    </row>
    <row r="96" spans="1:39">
      <c r="A96" t="s">
        <v>679</v>
      </c>
      <c r="B96" t="b">
        <v>1</v>
      </c>
      <c r="C96">
        <v>103055</v>
      </c>
      <c r="D96" t="s">
        <v>413</v>
      </c>
      <c r="E96" t="s">
        <v>414</v>
      </c>
      <c r="F96" t="s">
        <v>488</v>
      </c>
      <c r="G96" t="s">
        <v>489</v>
      </c>
      <c r="H96" t="s">
        <v>41</v>
      </c>
      <c r="I96">
        <v>1</v>
      </c>
      <c r="J96" s="4">
        <v>39275</v>
      </c>
      <c r="K96" s="4">
        <v>39275</v>
      </c>
      <c r="L96" s="5">
        <v>0</v>
      </c>
      <c r="M96" s="5">
        <v>0</v>
      </c>
      <c r="N96">
        <v>55.524630000000002</v>
      </c>
      <c r="O96">
        <v>13.906879999999999</v>
      </c>
      <c r="P96">
        <v>430992</v>
      </c>
      <c r="Q96">
        <v>6153717</v>
      </c>
      <c r="R96" t="s">
        <v>490</v>
      </c>
      <c r="S96">
        <v>500</v>
      </c>
      <c r="T96" t="s">
        <v>545</v>
      </c>
      <c r="U96" t="s">
        <v>525</v>
      </c>
      <c r="V96" t="s">
        <v>504</v>
      </c>
      <c r="W96" t="s">
        <v>494</v>
      </c>
      <c r="X96" t="s">
        <v>494</v>
      </c>
      <c r="Y96" t="s">
        <v>529</v>
      </c>
      <c r="Z96">
        <v>1</v>
      </c>
      <c r="AA96">
        <v>1</v>
      </c>
      <c r="AD96" t="s">
        <v>510</v>
      </c>
      <c r="AE96" t="s">
        <v>42</v>
      </c>
      <c r="AF96" t="s">
        <v>496</v>
      </c>
      <c r="AG96" t="b">
        <v>0</v>
      </c>
      <c r="AH96" t="b">
        <v>0</v>
      </c>
      <c r="AI96" t="b">
        <v>0</v>
      </c>
      <c r="AK96" t="s">
        <v>497</v>
      </c>
      <c r="AL96" t="b">
        <v>0</v>
      </c>
      <c r="AM96" t="b">
        <v>0</v>
      </c>
    </row>
    <row r="97" spans="1:39">
      <c r="A97" t="s">
        <v>680</v>
      </c>
      <c r="B97" t="b">
        <v>1</v>
      </c>
      <c r="C97">
        <v>103055</v>
      </c>
      <c r="D97" t="s">
        <v>413</v>
      </c>
      <c r="E97" t="s">
        <v>414</v>
      </c>
      <c r="F97" t="s">
        <v>488</v>
      </c>
      <c r="G97" t="s">
        <v>489</v>
      </c>
      <c r="H97" t="s">
        <v>41</v>
      </c>
      <c r="I97">
        <v>1</v>
      </c>
      <c r="J97" s="4">
        <v>39605</v>
      </c>
      <c r="K97" s="4">
        <v>39605</v>
      </c>
      <c r="L97" s="5">
        <v>0.64583333333333337</v>
      </c>
      <c r="M97" s="5">
        <v>0.69097222222222221</v>
      </c>
      <c r="N97">
        <v>55.555309999999999</v>
      </c>
      <c r="O97">
        <v>13.8569</v>
      </c>
      <c r="P97">
        <v>427893</v>
      </c>
      <c r="Q97">
        <v>6157182</v>
      </c>
      <c r="R97" t="s">
        <v>490</v>
      </c>
      <c r="S97">
        <v>140</v>
      </c>
      <c r="T97" t="s">
        <v>491</v>
      </c>
      <c r="U97" t="s">
        <v>492</v>
      </c>
      <c r="V97" t="s">
        <v>493</v>
      </c>
      <c r="W97" t="s">
        <v>494</v>
      </c>
      <c r="X97" t="s">
        <v>494</v>
      </c>
      <c r="Y97" t="s">
        <v>584</v>
      </c>
      <c r="Z97">
        <v>1</v>
      </c>
      <c r="AA97">
        <v>1</v>
      </c>
      <c r="AC97" t="s">
        <v>512</v>
      </c>
      <c r="AD97" t="s">
        <v>510</v>
      </c>
      <c r="AE97" t="s">
        <v>42</v>
      </c>
      <c r="AF97" t="s">
        <v>496</v>
      </c>
      <c r="AG97" t="b">
        <v>0</v>
      </c>
      <c r="AH97" t="b">
        <v>0</v>
      </c>
      <c r="AI97" t="b">
        <v>0</v>
      </c>
      <c r="AK97" t="s">
        <v>497</v>
      </c>
      <c r="AL97" t="b">
        <v>0</v>
      </c>
      <c r="AM97" t="b">
        <v>0</v>
      </c>
    </row>
    <row r="98" spans="1:39">
      <c r="A98" t="s">
        <v>681</v>
      </c>
      <c r="B98" t="b">
        <v>1</v>
      </c>
      <c r="C98">
        <v>103020</v>
      </c>
      <c r="D98" t="s">
        <v>328</v>
      </c>
      <c r="E98" t="s">
        <v>329</v>
      </c>
      <c r="F98" t="s">
        <v>488</v>
      </c>
      <c r="G98" t="s">
        <v>489</v>
      </c>
      <c r="H98" t="s">
        <v>41</v>
      </c>
      <c r="I98">
        <v>1</v>
      </c>
      <c r="J98" s="4">
        <v>39101</v>
      </c>
      <c r="K98" s="4">
        <v>39101</v>
      </c>
      <c r="L98" s="5">
        <v>0.43055555555555558</v>
      </c>
      <c r="M98" s="5">
        <v>0.43055555555555558</v>
      </c>
      <c r="N98">
        <v>55.558860000000003</v>
      </c>
      <c r="O98">
        <v>13.883039999999999</v>
      </c>
      <c r="P98">
        <v>429548</v>
      </c>
      <c r="Q98">
        <v>6157550</v>
      </c>
      <c r="R98" t="s">
        <v>490</v>
      </c>
      <c r="S98">
        <v>696</v>
      </c>
      <c r="T98" t="s">
        <v>682</v>
      </c>
      <c r="U98" t="s">
        <v>532</v>
      </c>
      <c r="V98" t="s">
        <v>504</v>
      </c>
      <c r="W98" t="s">
        <v>494</v>
      </c>
      <c r="X98" t="s">
        <v>494</v>
      </c>
      <c r="Y98" t="s">
        <v>526</v>
      </c>
      <c r="Z98">
        <v>2</v>
      </c>
      <c r="AA98">
        <v>2</v>
      </c>
      <c r="AE98" t="s">
        <v>42</v>
      </c>
      <c r="AF98" t="s">
        <v>496</v>
      </c>
      <c r="AG98" t="b">
        <v>0</v>
      </c>
      <c r="AH98" t="b">
        <v>0</v>
      </c>
      <c r="AI98" t="b">
        <v>0</v>
      </c>
      <c r="AK98" t="s">
        <v>497</v>
      </c>
      <c r="AL98" t="b">
        <v>0</v>
      </c>
      <c r="AM98" t="b">
        <v>0</v>
      </c>
    </row>
    <row r="99" spans="1:39">
      <c r="A99" t="s">
        <v>683</v>
      </c>
      <c r="B99" t="b">
        <v>1</v>
      </c>
      <c r="C99">
        <v>103020</v>
      </c>
      <c r="D99" t="s">
        <v>328</v>
      </c>
      <c r="E99" t="s">
        <v>329</v>
      </c>
      <c r="F99" t="s">
        <v>488</v>
      </c>
      <c r="G99" t="s">
        <v>489</v>
      </c>
      <c r="H99" t="s">
        <v>41</v>
      </c>
      <c r="I99">
        <v>1</v>
      </c>
      <c r="J99" s="4">
        <v>39101</v>
      </c>
      <c r="K99" s="4">
        <v>39101</v>
      </c>
      <c r="L99" s="5">
        <v>0.43055555555555558</v>
      </c>
      <c r="M99" s="5">
        <v>0.43055555555555558</v>
      </c>
      <c r="N99">
        <v>55.558860000000003</v>
      </c>
      <c r="O99">
        <v>13.883039999999999</v>
      </c>
      <c r="P99">
        <v>429548</v>
      </c>
      <c r="Q99">
        <v>6157550</v>
      </c>
      <c r="R99" t="s">
        <v>490</v>
      </c>
      <c r="S99">
        <v>696</v>
      </c>
      <c r="T99" t="s">
        <v>682</v>
      </c>
      <c r="U99" t="s">
        <v>532</v>
      </c>
      <c r="V99" t="s">
        <v>504</v>
      </c>
      <c r="W99" t="s">
        <v>494</v>
      </c>
      <c r="X99" t="s">
        <v>494</v>
      </c>
      <c r="Y99" t="s">
        <v>526</v>
      </c>
      <c r="Z99">
        <v>2</v>
      </c>
      <c r="AA99">
        <v>2</v>
      </c>
      <c r="AE99" t="s">
        <v>42</v>
      </c>
      <c r="AF99" t="s">
        <v>496</v>
      </c>
      <c r="AG99" t="b">
        <v>0</v>
      </c>
      <c r="AH99" t="b">
        <v>0</v>
      </c>
      <c r="AI99" t="b">
        <v>0</v>
      </c>
      <c r="AK99" t="s">
        <v>497</v>
      </c>
      <c r="AL99" t="b">
        <v>0</v>
      </c>
      <c r="AM99" t="b">
        <v>0</v>
      </c>
    </row>
    <row r="100" spans="1:39">
      <c r="A100" t="s">
        <v>684</v>
      </c>
      <c r="B100" t="b">
        <v>1</v>
      </c>
      <c r="C100">
        <v>100049</v>
      </c>
      <c r="D100" t="s">
        <v>295</v>
      </c>
      <c r="E100" t="s">
        <v>296</v>
      </c>
      <c r="F100" t="s">
        <v>488</v>
      </c>
      <c r="G100" t="s">
        <v>489</v>
      </c>
      <c r="H100" t="s">
        <v>46</v>
      </c>
      <c r="I100">
        <v>1</v>
      </c>
      <c r="J100" s="4">
        <v>41029</v>
      </c>
      <c r="K100" s="4">
        <v>41029</v>
      </c>
      <c r="L100" s="5">
        <v>0.54513888888888884</v>
      </c>
      <c r="M100" s="5">
        <v>0.59027777777777779</v>
      </c>
      <c r="N100">
        <v>55.530740000000002</v>
      </c>
      <c r="O100">
        <v>13.879630000000001</v>
      </c>
      <c r="P100">
        <v>429282</v>
      </c>
      <c r="Q100">
        <v>6154424</v>
      </c>
      <c r="R100" t="s">
        <v>490</v>
      </c>
      <c r="S100">
        <v>310</v>
      </c>
      <c r="T100" t="s">
        <v>499</v>
      </c>
      <c r="U100" t="s">
        <v>492</v>
      </c>
      <c r="V100" t="s">
        <v>493</v>
      </c>
      <c r="W100" t="s">
        <v>494</v>
      </c>
      <c r="X100" t="s">
        <v>494</v>
      </c>
      <c r="Y100" t="s">
        <v>685</v>
      </c>
      <c r="Z100">
        <v>1</v>
      </c>
      <c r="AA100">
        <v>1</v>
      </c>
      <c r="AE100" t="s">
        <v>42</v>
      </c>
      <c r="AF100" t="s">
        <v>496</v>
      </c>
      <c r="AG100" t="b">
        <v>0</v>
      </c>
      <c r="AH100" t="b">
        <v>0</v>
      </c>
      <c r="AI100" t="b">
        <v>0</v>
      </c>
      <c r="AK100" t="s">
        <v>497</v>
      </c>
      <c r="AL100" t="b">
        <v>0</v>
      </c>
      <c r="AM100" t="b">
        <v>0</v>
      </c>
    </row>
    <row r="101" spans="1:39">
      <c r="A101" t="s">
        <v>686</v>
      </c>
      <c r="B101" t="b">
        <v>1</v>
      </c>
      <c r="C101">
        <v>102623</v>
      </c>
      <c r="D101" t="s">
        <v>53</v>
      </c>
      <c r="E101" t="s">
        <v>54</v>
      </c>
      <c r="F101" t="s">
        <v>488</v>
      </c>
      <c r="G101" t="s">
        <v>489</v>
      </c>
      <c r="H101" t="s">
        <v>46</v>
      </c>
      <c r="I101">
        <v>1</v>
      </c>
      <c r="J101" s="4">
        <v>40023</v>
      </c>
      <c r="K101" s="4">
        <v>40023</v>
      </c>
      <c r="L101" s="5">
        <v>0</v>
      </c>
      <c r="M101" s="5">
        <v>0</v>
      </c>
      <c r="N101">
        <v>55.525750000000002</v>
      </c>
      <c r="O101">
        <v>13.88649</v>
      </c>
      <c r="P101">
        <v>429706</v>
      </c>
      <c r="Q101">
        <v>6153862</v>
      </c>
      <c r="R101" t="s">
        <v>490</v>
      </c>
      <c r="S101">
        <v>311</v>
      </c>
      <c r="T101" t="s">
        <v>515</v>
      </c>
      <c r="U101" t="s">
        <v>516</v>
      </c>
      <c r="V101" t="s">
        <v>493</v>
      </c>
      <c r="W101" t="s">
        <v>494</v>
      </c>
      <c r="X101" t="s">
        <v>494</v>
      </c>
      <c r="Y101" t="s">
        <v>687</v>
      </c>
      <c r="Z101">
        <v>1</v>
      </c>
      <c r="AA101">
        <v>1</v>
      </c>
      <c r="AD101" t="s">
        <v>510</v>
      </c>
      <c r="AE101" t="s">
        <v>42</v>
      </c>
      <c r="AF101" t="s">
        <v>496</v>
      </c>
      <c r="AG101" t="b">
        <v>0</v>
      </c>
      <c r="AH101" t="b">
        <v>0</v>
      </c>
      <c r="AI101" t="b">
        <v>0</v>
      </c>
      <c r="AK101" t="s">
        <v>497</v>
      </c>
      <c r="AL101" t="b">
        <v>0</v>
      </c>
      <c r="AM101" t="b">
        <v>0</v>
      </c>
    </row>
    <row r="102" spans="1:39">
      <c r="A102" t="s">
        <v>688</v>
      </c>
      <c r="B102" t="b">
        <v>1</v>
      </c>
      <c r="C102">
        <v>103055</v>
      </c>
      <c r="D102" t="s">
        <v>413</v>
      </c>
      <c r="E102" t="s">
        <v>414</v>
      </c>
      <c r="F102" t="s">
        <v>488</v>
      </c>
      <c r="G102" t="s">
        <v>489</v>
      </c>
      <c r="H102" t="s">
        <v>41</v>
      </c>
      <c r="I102">
        <v>1</v>
      </c>
      <c r="J102" s="4">
        <v>40333</v>
      </c>
      <c r="K102" s="4">
        <v>40333</v>
      </c>
      <c r="L102" s="5">
        <v>0.53472222222222221</v>
      </c>
      <c r="M102" s="5">
        <v>0.57291666666666663</v>
      </c>
      <c r="N102">
        <v>55.530740000000002</v>
      </c>
      <c r="O102">
        <v>13.879630000000001</v>
      </c>
      <c r="P102">
        <v>429282</v>
      </c>
      <c r="Q102">
        <v>6154424</v>
      </c>
      <c r="R102" t="s">
        <v>490</v>
      </c>
      <c r="S102">
        <v>310</v>
      </c>
      <c r="T102" t="s">
        <v>499</v>
      </c>
      <c r="U102" t="s">
        <v>492</v>
      </c>
      <c r="V102" t="s">
        <v>493</v>
      </c>
      <c r="W102" t="s">
        <v>494</v>
      </c>
      <c r="X102" t="s">
        <v>494</v>
      </c>
      <c r="Y102" t="s">
        <v>689</v>
      </c>
      <c r="Z102">
        <v>1</v>
      </c>
      <c r="AA102">
        <v>1</v>
      </c>
      <c r="AE102" t="s">
        <v>42</v>
      </c>
      <c r="AF102" t="s">
        <v>496</v>
      </c>
      <c r="AG102" t="b">
        <v>0</v>
      </c>
      <c r="AH102" t="b">
        <v>0</v>
      </c>
      <c r="AI102" t="b">
        <v>0</v>
      </c>
      <c r="AK102" t="s">
        <v>497</v>
      </c>
      <c r="AL102" t="b">
        <v>0</v>
      </c>
      <c r="AM102" t="b">
        <v>0</v>
      </c>
    </row>
    <row r="103" spans="1:39">
      <c r="A103" t="s">
        <v>690</v>
      </c>
      <c r="B103" t="b">
        <v>1</v>
      </c>
      <c r="C103">
        <v>102990</v>
      </c>
      <c r="D103" t="s">
        <v>39</v>
      </c>
      <c r="E103" t="s">
        <v>40</v>
      </c>
      <c r="F103" t="s">
        <v>488</v>
      </c>
      <c r="G103" t="s">
        <v>489</v>
      </c>
      <c r="H103" t="s">
        <v>41</v>
      </c>
      <c r="I103">
        <v>1</v>
      </c>
      <c r="J103" s="4">
        <v>40336</v>
      </c>
      <c r="K103" s="4">
        <v>40336</v>
      </c>
      <c r="L103" s="5">
        <v>0.60416666666666663</v>
      </c>
      <c r="M103" s="5">
        <v>0.66666666666666663</v>
      </c>
      <c r="N103">
        <v>55.527650000000001</v>
      </c>
      <c r="O103">
        <v>13.900119999999999</v>
      </c>
      <c r="P103">
        <v>430570</v>
      </c>
      <c r="Q103">
        <v>6154060</v>
      </c>
      <c r="R103" t="s">
        <v>490</v>
      </c>
      <c r="S103">
        <v>250</v>
      </c>
      <c r="T103" t="s">
        <v>578</v>
      </c>
      <c r="U103" t="s">
        <v>525</v>
      </c>
      <c r="V103" t="s">
        <v>504</v>
      </c>
      <c r="W103" t="s">
        <v>494</v>
      </c>
      <c r="X103" t="s">
        <v>494</v>
      </c>
      <c r="Y103" t="s">
        <v>691</v>
      </c>
      <c r="Z103">
        <v>1</v>
      </c>
      <c r="AA103">
        <v>1</v>
      </c>
      <c r="AE103" t="s">
        <v>42</v>
      </c>
      <c r="AF103" t="s">
        <v>496</v>
      </c>
      <c r="AG103" t="b">
        <v>0</v>
      </c>
      <c r="AH103" t="b">
        <v>0</v>
      </c>
      <c r="AI103" t="b">
        <v>0</v>
      </c>
      <c r="AK103" t="s">
        <v>497</v>
      </c>
      <c r="AL103" t="b">
        <v>0</v>
      </c>
      <c r="AM103" t="b">
        <v>0</v>
      </c>
    </row>
    <row r="104" spans="1:39">
      <c r="A104" t="s">
        <v>692</v>
      </c>
      <c r="B104" t="b">
        <v>1</v>
      </c>
      <c r="C104">
        <v>102993</v>
      </c>
      <c r="D104" t="s">
        <v>384</v>
      </c>
      <c r="E104" t="s">
        <v>385</v>
      </c>
      <c r="F104" t="s">
        <v>488</v>
      </c>
      <c r="G104" t="s">
        <v>489</v>
      </c>
      <c r="H104" t="s">
        <v>85</v>
      </c>
      <c r="I104">
        <v>1</v>
      </c>
      <c r="J104" s="4">
        <v>40381</v>
      </c>
      <c r="K104" s="4">
        <v>40381</v>
      </c>
      <c r="L104" s="5">
        <v>0</v>
      </c>
      <c r="M104" s="5">
        <v>0</v>
      </c>
      <c r="N104">
        <v>55.54081</v>
      </c>
      <c r="O104">
        <v>13.95609</v>
      </c>
      <c r="P104">
        <v>434125</v>
      </c>
      <c r="Q104">
        <v>6155470</v>
      </c>
      <c r="R104" t="s">
        <v>490</v>
      </c>
      <c r="S104">
        <v>1500</v>
      </c>
      <c r="T104" t="s">
        <v>507</v>
      </c>
      <c r="U104" t="s">
        <v>508</v>
      </c>
      <c r="V104" t="s">
        <v>504</v>
      </c>
      <c r="W104" t="s">
        <v>494</v>
      </c>
      <c r="X104" t="s">
        <v>494</v>
      </c>
      <c r="Y104" t="s">
        <v>693</v>
      </c>
      <c r="Z104">
        <v>1</v>
      </c>
      <c r="AA104">
        <v>1</v>
      </c>
      <c r="AC104" t="s">
        <v>512</v>
      </c>
      <c r="AD104" t="s">
        <v>510</v>
      </c>
      <c r="AE104" t="s">
        <v>42</v>
      </c>
      <c r="AF104" t="s">
        <v>601</v>
      </c>
      <c r="AG104" t="b">
        <v>0</v>
      </c>
      <c r="AH104" t="b">
        <v>0</v>
      </c>
      <c r="AI104" t="b">
        <v>0</v>
      </c>
      <c r="AK104" t="s">
        <v>497</v>
      </c>
      <c r="AL104" t="b">
        <v>0</v>
      </c>
      <c r="AM104" t="b">
        <v>0</v>
      </c>
    </row>
    <row r="105" spans="1:39">
      <c r="A105" t="s">
        <v>694</v>
      </c>
      <c r="B105" t="b">
        <v>1</v>
      </c>
      <c r="C105">
        <v>102977</v>
      </c>
      <c r="D105" t="s">
        <v>47</v>
      </c>
      <c r="E105" t="s">
        <v>48</v>
      </c>
      <c r="F105" t="s">
        <v>488</v>
      </c>
      <c r="G105" t="s">
        <v>489</v>
      </c>
      <c r="H105" t="s">
        <v>46</v>
      </c>
      <c r="I105">
        <v>1</v>
      </c>
      <c r="J105" s="4">
        <v>41378</v>
      </c>
      <c r="K105" s="4">
        <v>41378</v>
      </c>
      <c r="L105" s="5">
        <v>0</v>
      </c>
      <c r="M105" s="5">
        <v>0</v>
      </c>
      <c r="N105">
        <v>55.556330000000003</v>
      </c>
      <c r="O105">
        <v>13.86158</v>
      </c>
      <c r="P105">
        <v>428190</v>
      </c>
      <c r="Q105">
        <v>6157290</v>
      </c>
      <c r="R105" t="s">
        <v>490</v>
      </c>
      <c r="S105">
        <v>139</v>
      </c>
      <c r="T105" t="s">
        <v>647</v>
      </c>
      <c r="U105" t="s">
        <v>532</v>
      </c>
      <c r="V105" t="s">
        <v>504</v>
      </c>
      <c r="W105" t="s">
        <v>494</v>
      </c>
      <c r="X105" t="s">
        <v>494</v>
      </c>
      <c r="Y105" t="s">
        <v>581</v>
      </c>
      <c r="Z105">
        <v>1</v>
      </c>
      <c r="AA105">
        <v>1</v>
      </c>
      <c r="AE105" t="s">
        <v>42</v>
      </c>
      <c r="AF105" t="s">
        <v>496</v>
      </c>
      <c r="AG105" t="b">
        <v>0</v>
      </c>
      <c r="AH105" t="b">
        <v>0</v>
      </c>
      <c r="AI105" t="b">
        <v>0</v>
      </c>
      <c r="AK105" t="s">
        <v>497</v>
      </c>
      <c r="AL105" t="b">
        <v>0</v>
      </c>
      <c r="AM105" t="b">
        <v>0</v>
      </c>
    </row>
    <row r="106" spans="1:39">
      <c r="A106" t="s">
        <v>695</v>
      </c>
      <c r="B106" t="b">
        <v>1</v>
      </c>
      <c r="C106">
        <v>100129</v>
      </c>
      <c r="D106" t="s">
        <v>404</v>
      </c>
      <c r="E106" t="s">
        <v>405</v>
      </c>
      <c r="F106" t="s">
        <v>488</v>
      </c>
      <c r="G106" t="s">
        <v>489</v>
      </c>
      <c r="H106" t="s">
        <v>81</v>
      </c>
      <c r="I106">
        <v>1</v>
      </c>
      <c r="J106" s="4">
        <v>41815</v>
      </c>
      <c r="K106" s="4">
        <v>41815</v>
      </c>
      <c r="L106" s="5">
        <v>0</v>
      </c>
      <c r="M106" s="5">
        <v>0</v>
      </c>
      <c r="N106">
        <v>55.553809999999999</v>
      </c>
      <c r="O106">
        <v>13.89578</v>
      </c>
      <c r="P106">
        <v>430342</v>
      </c>
      <c r="Q106">
        <v>6156975</v>
      </c>
      <c r="R106" t="s">
        <v>490</v>
      </c>
      <c r="S106">
        <v>400</v>
      </c>
      <c r="T106" t="s">
        <v>696</v>
      </c>
      <c r="U106" t="s">
        <v>532</v>
      </c>
      <c r="V106" t="s">
        <v>504</v>
      </c>
      <c r="W106" t="s">
        <v>494</v>
      </c>
      <c r="X106" t="s">
        <v>494</v>
      </c>
      <c r="Y106" t="s">
        <v>495</v>
      </c>
      <c r="Z106">
        <v>1</v>
      </c>
      <c r="AA106">
        <v>1</v>
      </c>
      <c r="AC106" t="s">
        <v>512</v>
      </c>
      <c r="AD106" t="s">
        <v>510</v>
      </c>
      <c r="AE106" t="s">
        <v>42</v>
      </c>
      <c r="AF106" t="s">
        <v>496</v>
      </c>
      <c r="AG106" t="b">
        <v>0</v>
      </c>
      <c r="AH106" t="b">
        <v>0</v>
      </c>
      <c r="AI106" t="b">
        <v>0</v>
      </c>
      <c r="AK106" t="s">
        <v>497</v>
      </c>
      <c r="AL106" t="b">
        <v>0</v>
      </c>
      <c r="AM106" t="b">
        <v>0</v>
      </c>
    </row>
    <row r="107" spans="1:39">
      <c r="A107" t="s">
        <v>697</v>
      </c>
      <c r="B107" t="b">
        <v>1</v>
      </c>
      <c r="C107">
        <v>103055</v>
      </c>
      <c r="D107" t="s">
        <v>413</v>
      </c>
      <c r="E107" t="s">
        <v>414</v>
      </c>
      <c r="F107" t="s">
        <v>488</v>
      </c>
      <c r="G107" t="s">
        <v>489</v>
      </c>
      <c r="H107" t="s">
        <v>41</v>
      </c>
      <c r="I107">
        <v>1</v>
      </c>
      <c r="J107" s="4">
        <v>41471</v>
      </c>
      <c r="K107" s="4">
        <v>41471</v>
      </c>
      <c r="L107" s="5">
        <v>0.61458333333333337</v>
      </c>
      <c r="M107" s="5">
        <v>0.67708333333333337</v>
      </c>
      <c r="N107">
        <v>55.558450000000001</v>
      </c>
      <c r="O107">
        <v>13.92013</v>
      </c>
      <c r="P107">
        <v>431887</v>
      </c>
      <c r="Q107">
        <v>6157468</v>
      </c>
      <c r="R107" t="s">
        <v>490</v>
      </c>
      <c r="S107">
        <v>593</v>
      </c>
      <c r="T107" t="s">
        <v>698</v>
      </c>
      <c r="U107" t="s">
        <v>508</v>
      </c>
      <c r="V107" t="s">
        <v>504</v>
      </c>
      <c r="W107" t="s">
        <v>494</v>
      </c>
      <c r="X107" t="s">
        <v>494</v>
      </c>
      <c r="Y107" t="s">
        <v>699</v>
      </c>
      <c r="Z107">
        <v>2</v>
      </c>
      <c r="AA107">
        <v>2</v>
      </c>
      <c r="AE107" t="s">
        <v>42</v>
      </c>
      <c r="AF107" t="s">
        <v>496</v>
      </c>
      <c r="AG107" t="b">
        <v>0</v>
      </c>
      <c r="AH107" t="b">
        <v>0</v>
      </c>
      <c r="AI107" t="b">
        <v>0</v>
      </c>
      <c r="AK107" t="s">
        <v>497</v>
      </c>
      <c r="AL107" t="b">
        <v>0</v>
      </c>
      <c r="AM107" t="b">
        <v>0</v>
      </c>
    </row>
    <row r="108" spans="1:39">
      <c r="A108" t="s">
        <v>700</v>
      </c>
      <c r="B108" t="b">
        <v>1</v>
      </c>
      <c r="C108">
        <v>103020</v>
      </c>
      <c r="D108" t="s">
        <v>328</v>
      </c>
      <c r="E108" t="s">
        <v>329</v>
      </c>
      <c r="F108" t="s">
        <v>488</v>
      </c>
      <c r="G108" t="s">
        <v>489</v>
      </c>
      <c r="H108" t="s">
        <v>41</v>
      </c>
      <c r="I108">
        <v>1</v>
      </c>
      <c r="J108" s="4">
        <v>42057</v>
      </c>
      <c r="K108" s="4">
        <v>42057</v>
      </c>
      <c r="L108" s="5">
        <v>0.39583333333333331</v>
      </c>
      <c r="M108" s="5">
        <v>0.45833333333333331</v>
      </c>
      <c r="N108">
        <v>55.547759999999997</v>
      </c>
      <c r="O108">
        <v>13.86754</v>
      </c>
      <c r="P108">
        <v>428550</v>
      </c>
      <c r="Q108">
        <v>6156331</v>
      </c>
      <c r="R108" t="s">
        <v>490</v>
      </c>
      <c r="S108">
        <v>627</v>
      </c>
      <c r="T108" t="s">
        <v>541</v>
      </c>
      <c r="U108" t="s">
        <v>525</v>
      </c>
      <c r="V108" t="s">
        <v>504</v>
      </c>
      <c r="W108" t="s">
        <v>494</v>
      </c>
      <c r="X108" t="s">
        <v>494</v>
      </c>
      <c r="Y108" t="s">
        <v>701</v>
      </c>
      <c r="Z108">
        <v>1</v>
      </c>
      <c r="AA108">
        <v>1</v>
      </c>
      <c r="AE108" t="s">
        <v>42</v>
      </c>
      <c r="AF108" t="s">
        <v>496</v>
      </c>
      <c r="AG108" t="b">
        <v>0</v>
      </c>
      <c r="AH108" t="b">
        <v>0</v>
      </c>
      <c r="AI108" t="b">
        <v>0</v>
      </c>
      <c r="AK108" t="s">
        <v>497</v>
      </c>
      <c r="AL108" t="b">
        <v>0</v>
      </c>
      <c r="AM108" t="b">
        <v>0</v>
      </c>
    </row>
    <row r="109" spans="1:39">
      <c r="A109" t="s">
        <v>702</v>
      </c>
      <c r="B109" t="b">
        <v>1</v>
      </c>
      <c r="C109">
        <v>102977</v>
      </c>
      <c r="D109" t="s">
        <v>47</v>
      </c>
      <c r="E109" t="s">
        <v>48</v>
      </c>
      <c r="F109" t="s">
        <v>488</v>
      </c>
      <c r="G109" t="s">
        <v>489</v>
      </c>
      <c r="H109" t="s">
        <v>46</v>
      </c>
      <c r="I109">
        <v>1</v>
      </c>
      <c r="J109" s="4">
        <v>41698</v>
      </c>
      <c r="K109" s="4">
        <v>41698</v>
      </c>
      <c r="L109" s="5">
        <v>0.32291666666666669</v>
      </c>
      <c r="M109" s="5">
        <v>0.35069444444444442</v>
      </c>
      <c r="N109">
        <v>55.551000000000002</v>
      </c>
      <c r="O109">
        <v>13.865489999999999</v>
      </c>
      <c r="P109">
        <v>428426</v>
      </c>
      <c r="Q109">
        <v>6156693</v>
      </c>
      <c r="R109" t="s">
        <v>490</v>
      </c>
      <c r="S109">
        <v>400</v>
      </c>
      <c r="T109" t="s">
        <v>703</v>
      </c>
      <c r="U109" t="s">
        <v>525</v>
      </c>
      <c r="V109" t="s">
        <v>504</v>
      </c>
      <c r="W109" t="s">
        <v>494</v>
      </c>
      <c r="X109" t="s">
        <v>494</v>
      </c>
      <c r="Y109" t="s">
        <v>704</v>
      </c>
      <c r="Z109">
        <v>1</v>
      </c>
      <c r="AA109">
        <v>1</v>
      </c>
      <c r="AE109" t="s">
        <v>42</v>
      </c>
      <c r="AF109" t="s">
        <v>496</v>
      </c>
      <c r="AG109" t="b">
        <v>0</v>
      </c>
      <c r="AH109" t="b">
        <v>0</v>
      </c>
      <c r="AI109" t="b">
        <v>0</v>
      </c>
      <c r="AK109" t="s">
        <v>497</v>
      </c>
      <c r="AL109" t="b">
        <v>0</v>
      </c>
      <c r="AM109" t="b">
        <v>0</v>
      </c>
    </row>
    <row r="110" spans="1:39">
      <c r="A110" t="s">
        <v>705</v>
      </c>
      <c r="B110" t="b">
        <v>1</v>
      </c>
      <c r="C110">
        <v>103037</v>
      </c>
      <c r="D110" t="s">
        <v>368</v>
      </c>
      <c r="E110" t="s">
        <v>369</v>
      </c>
      <c r="F110" t="s">
        <v>488</v>
      </c>
      <c r="G110" t="s">
        <v>489</v>
      </c>
      <c r="H110" t="s">
        <v>85</v>
      </c>
      <c r="I110">
        <v>1</v>
      </c>
      <c r="J110" s="4">
        <v>42490</v>
      </c>
      <c r="K110" s="4">
        <v>42490</v>
      </c>
      <c r="N110">
        <v>55.558250000000001</v>
      </c>
      <c r="O110">
        <v>13.85868</v>
      </c>
      <c r="P110">
        <v>428010</v>
      </c>
      <c r="Q110">
        <v>6157507</v>
      </c>
      <c r="R110" t="s">
        <v>490</v>
      </c>
      <c r="S110">
        <v>100</v>
      </c>
      <c r="T110" t="s">
        <v>531</v>
      </c>
      <c r="U110" t="s">
        <v>532</v>
      </c>
      <c r="V110" t="s">
        <v>504</v>
      </c>
      <c r="W110" t="s">
        <v>494</v>
      </c>
      <c r="X110" t="s">
        <v>494</v>
      </c>
      <c r="Y110" t="s">
        <v>495</v>
      </c>
      <c r="Z110">
        <v>10</v>
      </c>
      <c r="AA110">
        <v>10</v>
      </c>
      <c r="AC110" t="s">
        <v>512</v>
      </c>
      <c r="AE110" t="s">
        <v>62</v>
      </c>
      <c r="AF110" t="s">
        <v>496</v>
      </c>
      <c r="AG110" t="b">
        <v>0</v>
      </c>
      <c r="AH110" t="b">
        <v>0</v>
      </c>
      <c r="AI110" t="b">
        <v>0</v>
      </c>
      <c r="AK110" t="s">
        <v>497</v>
      </c>
      <c r="AL110" t="b">
        <v>0</v>
      </c>
      <c r="AM110" t="b">
        <v>0</v>
      </c>
    </row>
    <row r="111" spans="1:39">
      <c r="A111" t="s">
        <v>706</v>
      </c>
      <c r="B111" t="b">
        <v>1</v>
      </c>
      <c r="C111">
        <v>102977</v>
      </c>
      <c r="D111" t="s">
        <v>47</v>
      </c>
      <c r="E111" t="s">
        <v>48</v>
      </c>
      <c r="F111" t="s">
        <v>488</v>
      </c>
      <c r="G111" t="s">
        <v>489</v>
      </c>
      <c r="H111" t="s">
        <v>46</v>
      </c>
      <c r="I111">
        <v>1</v>
      </c>
      <c r="J111" s="4">
        <v>42442</v>
      </c>
      <c r="K111" s="4">
        <v>42442</v>
      </c>
      <c r="N111">
        <v>55.530740000000002</v>
      </c>
      <c r="O111">
        <v>13.879630000000001</v>
      </c>
      <c r="P111">
        <v>429282</v>
      </c>
      <c r="Q111">
        <v>6154424</v>
      </c>
      <c r="R111" t="s">
        <v>490</v>
      </c>
      <c r="S111">
        <v>310</v>
      </c>
      <c r="T111" t="s">
        <v>499</v>
      </c>
      <c r="U111" t="s">
        <v>492</v>
      </c>
      <c r="V111" t="s">
        <v>493</v>
      </c>
      <c r="W111" t="s">
        <v>494</v>
      </c>
      <c r="X111" t="s">
        <v>494</v>
      </c>
      <c r="Y111" t="s">
        <v>707</v>
      </c>
      <c r="Z111">
        <v>1</v>
      </c>
      <c r="AA111">
        <v>1</v>
      </c>
      <c r="AE111" t="s">
        <v>42</v>
      </c>
      <c r="AF111" t="s">
        <v>496</v>
      </c>
      <c r="AG111" t="b">
        <v>0</v>
      </c>
      <c r="AH111" t="b">
        <v>0</v>
      </c>
      <c r="AI111" t="b">
        <v>0</v>
      </c>
      <c r="AK111" t="s">
        <v>497</v>
      </c>
      <c r="AL111" t="b">
        <v>0</v>
      </c>
      <c r="AM111" t="b">
        <v>0</v>
      </c>
    </row>
    <row r="112" spans="1:39">
      <c r="A112" t="s">
        <v>708</v>
      </c>
      <c r="B112" t="b">
        <v>1</v>
      </c>
      <c r="C112">
        <v>102952</v>
      </c>
      <c r="D112" t="s">
        <v>158</v>
      </c>
      <c r="E112" t="s">
        <v>159</v>
      </c>
      <c r="F112" t="s">
        <v>488</v>
      </c>
      <c r="G112" t="s">
        <v>489</v>
      </c>
      <c r="H112" t="s">
        <v>85</v>
      </c>
      <c r="I112">
        <v>1</v>
      </c>
      <c r="J112" s="4">
        <v>44671</v>
      </c>
      <c r="K112" s="4">
        <v>44671</v>
      </c>
      <c r="L112" s="5">
        <v>0.79166666666666663</v>
      </c>
      <c r="M112" s="5">
        <v>0.83333333333333337</v>
      </c>
      <c r="N112">
        <v>55.530740000000002</v>
      </c>
      <c r="O112">
        <v>13.879630000000001</v>
      </c>
      <c r="P112">
        <v>429282</v>
      </c>
      <c r="Q112">
        <v>6154424</v>
      </c>
      <c r="R112" t="s">
        <v>490</v>
      </c>
      <c r="S112">
        <v>310</v>
      </c>
      <c r="T112" t="s">
        <v>499</v>
      </c>
      <c r="U112" t="s">
        <v>492</v>
      </c>
      <c r="V112" t="s">
        <v>493</v>
      </c>
      <c r="W112" t="s">
        <v>494</v>
      </c>
      <c r="X112" t="s">
        <v>494</v>
      </c>
      <c r="Y112" t="s">
        <v>709</v>
      </c>
      <c r="Z112">
        <v>2</v>
      </c>
      <c r="AA112">
        <v>2</v>
      </c>
      <c r="AD112" t="s">
        <v>527</v>
      </c>
      <c r="AE112" t="s">
        <v>538</v>
      </c>
      <c r="AF112" t="s">
        <v>496</v>
      </c>
      <c r="AG112" t="b">
        <v>0</v>
      </c>
      <c r="AH112" t="b">
        <v>0</v>
      </c>
      <c r="AI112" t="b">
        <v>0</v>
      </c>
      <c r="AK112" t="s">
        <v>497</v>
      </c>
      <c r="AL112" t="b">
        <v>0</v>
      </c>
      <c r="AM112" t="b">
        <v>0</v>
      </c>
    </row>
    <row r="113" spans="1:39">
      <c r="A113" t="s">
        <v>710</v>
      </c>
      <c r="B113" t="b">
        <v>1</v>
      </c>
      <c r="C113">
        <v>102993</v>
      </c>
      <c r="D113" t="s">
        <v>384</v>
      </c>
      <c r="E113" t="s">
        <v>385</v>
      </c>
      <c r="F113" t="s">
        <v>488</v>
      </c>
      <c r="G113" t="s">
        <v>489</v>
      </c>
      <c r="H113" t="s">
        <v>85</v>
      </c>
      <c r="I113">
        <v>1</v>
      </c>
      <c r="J113" s="4">
        <v>44364</v>
      </c>
      <c r="K113" s="4">
        <v>44364</v>
      </c>
      <c r="N113">
        <v>55.548569999999998</v>
      </c>
      <c r="O113">
        <v>13.97132</v>
      </c>
      <c r="P113">
        <v>435099</v>
      </c>
      <c r="Q113">
        <v>6156319</v>
      </c>
      <c r="R113" t="s">
        <v>490</v>
      </c>
      <c r="S113">
        <v>200</v>
      </c>
      <c r="T113" t="s">
        <v>658</v>
      </c>
      <c r="U113" t="s">
        <v>508</v>
      </c>
      <c r="V113" t="s">
        <v>504</v>
      </c>
      <c r="W113" t="s">
        <v>494</v>
      </c>
      <c r="X113" t="s">
        <v>494</v>
      </c>
      <c r="Y113" t="s">
        <v>536</v>
      </c>
      <c r="Z113">
        <v>1</v>
      </c>
      <c r="AA113">
        <v>1</v>
      </c>
      <c r="AE113" t="s">
        <v>57</v>
      </c>
      <c r="AF113" t="s">
        <v>496</v>
      </c>
      <c r="AG113" t="b">
        <v>0</v>
      </c>
      <c r="AH113" t="b">
        <v>0</v>
      </c>
      <c r="AI113" t="b">
        <v>0</v>
      </c>
      <c r="AK113" t="s">
        <v>497</v>
      </c>
      <c r="AL113" t="b">
        <v>0</v>
      </c>
      <c r="AM113" t="b">
        <v>0</v>
      </c>
    </row>
    <row r="114" spans="1:39">
      <c r="A114" t="s">
        <v>711</v>
      </c>
      <c r="B114" t="b">
        <v>1</v>
      </c>
      <c r="C114">
        <v>100049</v>
      </c>
      <c r="D114" t="s">
        <v>295</v>
      </c>
      <c r="E114" t="s">
        <v>296</v>
      </c>
      <c r="F114" t="s">
        <v>488</v>
      </c>
      <c r="G114" t="s">
        <v>489</v>
      </c>
      <c r="H114" t="s">
        <v>46</v>
      </c>
      <c r="I114">
        <v>1</v>
      </c>
      <c r="J114" s="4">
        <v>44620</v>
      </c>
      <c r="K114" s="4">
        <v>44620</v>
      </c>
      <c r="L114" s="5">
        <v>0.32777777777777778</v>
      </c>
      <c r="M114" s="5">
        <v>0.38541666666666669</v>
      </c>
      <c r="N114">
        <v>55.547759999999997</v>
      </c>
      <c r="O114">
        <v>13.86754</v>
      </c>
      <c r="P114">
        <v>428550</v>
      </c>
      <c r="Q114">
        <v>6156331</v>
      </c>
      <c r="R114" t="s">
        <v>490</v>
      </c>
      <c r="S114">
        <v>627</v>
      </c>
      <c r="T114" t="s">
        <v>541</v>
      </c>
      <c r="U114" t="s">
        <v>525</v>
      </c>
      <c r="V114" t="s">
        <v>504</v>
      </c>
      <c r="W114" t="s">
        <v>494</v>
      </c>
      <c r="X114" t="s">
        <v>494</v>
      </c>
      <c r="Y114" t="s">
        <v>712</v>
      </c>
      <c r="Z114">
        <v>2</v>
      </c>
      <c r="AA114">
        <v>2</v>
      </c>
      <c r="AE114" t="s">
        <v>42</v>
      </c>
      <c r="AF114" t="s">
        <v>496</v>
      </c>
      <c r="AG114" t="b">
        <v>0</v>
      </c>
      <c r="AH114" t="b">
        <v>0</v>
      </c>
      <c r="AI114" t="b">
        <v>0</v>
      </c>
      <c r="AK114" t="s">
        <v>497</v>
      </c>
      <c r="AL114" t="b">
        <v>0</v>
      </c>
      <c r="AM114" t="b">
        <v>0</v>
      </c>
    </row>
    <row r="115" spans="1:39">
      <c r="A115" t="s">
        <v>713</v>
      </c>
      <c r="B115" t="b">
        <v>1</v>
      </c>
      <c r="C115">
        <v>103003</v>
      </c>
      <c r="D115" t="s">
        <v>350</v>
      </c>
      <c r="E115" t="s">
        <v>351</v>
      </c>
      <c r="F115" t="s">
        <v>488</v>
      </c>
      <c r="G115" t="s">
        <v>489</v>
      </c>
      <c r="H115" t="s">
        <v>85</v>
      </c>
      <c r="I115">
        <v>1</v>
      </c>
      <c r="J115" s="4">
        <v>44322</v>
      </c>
      <c r="K115" s="4">
        <v>44322</v>
      </c>
      <c r="L115" s="5">
        <v>0.375</v>
      </c>
      <c r="M115" s="5">
        <v>0.45833333333333331</v>
      </c>
      <c r="N115">
        <v>55.5351</v>
      </c>
      <c r="O115">
        <v>13.95862</v>
      </c>
      <c r="P115">
        <v>434276</v>
      </c>
      <c r="Q115">
        <v>6154832</v>
      </c>
      <c r="R115" t="s">
        <v>490</v>
      </c>
      <c r="S115">
        <v>400</v>
      </c>
      <c r="T115" t="s">
        <v>563</v>
      </c>
      <c r="U115" t="s">
        <v>508</v>
      </c>
      <c r="V115" t="s">
        <v>504</v>
      </c>
      <c r="W115" t="s">
        <v>494</v>
      </c>
      <c r="X115" t="s">
        <v>494</v>
      </c>
      <c r="Y115" t="s">
        <v>536</v>
      </c>
      <c r="Z115">
        <v>1</v>
      </c>
      <c r="AA115">
        <v>1</v>
      </c>
      <c r="AE115" t="s">
        <v>42</v>
      </c>
      <c r="AF115" t="s">
        <v>496</v>
      </c>
      <c r="AG115" t="b">
        <v>0</v>
      </c>
      <c r="AH115" t="b">
        <v>0</v>
      </c>
      <c r="AI115" t="b">
        <v>0</v>
      </c>
      <c r="AK115" t="s">
        <v>497</v>
      </c>
      <c r="AL115" t="b">
        <v>0</v>
      </c>
      <c r="AM115" t="b">
        <v>0</v>
      </c>
    </row>
    <row r="116" spans="1:39">
      <c r="A116" t="s">
        <v>714</v>
      </c>
      <c r="B116" t="b">
        <v>1</v>
      </c>
      <c r="C116">
        <v>100049</v>
      </c>
      <c r="D116" t="s">
        <v>295</v>
      </c>
      <c r="E116" t="s">
        <v>296</v>
      </c>
      <c r="F116" t="s">
        <v>488</v>
      </c>
      <c r="G116" t="s">
        <v>489</v>
      </c>
      <c r="H116" t="s">
        <v>46</v>
      </c>
      <c r="I116">
        <v>1</v>
      </c>
      <c r="J116" s="4">
        <v>45099</v>
      </c>
      <c r="K116" s="4">
        <v>45099</v>
      </c>
      <c r="L116" s="5">
        <v>0.61111111111111116</v>
      </c>
      <c r="M116" s="5">
        <v>0.61111111111111116</v>
      </c>
      <c r="N116">
        <v>55.517940000000003</v>
      </c>
      <c r="O116">
        <v>13.89654</v>
      </c>
      <c r="P116">
        <v>430327</v>
      </c>
      <c r="Q116">
        <v>6152982</v>
      </c>
      <c r="R116" t="s">
        <v>490</v>
      </c>
      <c r="S116">
        <v>25</v>
      </c>
      <c r="T116" t="s">
        <v>715</v>
      </c>
      <c r="U116" t="s">
        <v>516</v>
      </c>
      <c r="V116" t="s">
        <v>504</v>
      </c>
      <c r="W116" t="s">
        <v>494</v>
      </c>
      <c r="X116" t="s">
        <v>494</v>
      </c>
      <c r="Y116" t="s">
        <v>536</v>
      </c>
      <c r="Z116">
        <v>1</v>
      </c>
      <c r="AA116">
        <v>1</v>
      </c>
      <c r="AE116" t="s">
        <v>542</v>
      </c>
      <c r="AF116" t="s">
        <v>496</v>
      </c>
      <c r="AG116" t="b">
        <v>0</v>
      </c>
      <c r="AH116" t="b">
        <v>0</v>
      </c>
      <c r="AI116" t="b">
        <v>0</v>
      </c>
      <c r="AK116" t="s">
        <v>497</v>
      </c>
      <c r="AL116" t="b">
        <v>0</v>
      </c>
      <c r="AM116" t="b">
        <v>0</v>
      </c>
    </row>
    <row r="117" spans="1:39">
      <c r="A117" t="s">
        <v>716</v>
      </c>
      <c r="B117" t="b">
        <v>1</v>
      </c>
      <c r="C117">
        <v>102952</v>
      </c>
      <c r="D117" t="s">
        <v>158</v>
      </c>
      <c r="E117" t="s">
        <v>159</v>
      </c>
      <c r="F117" t="s">
        <v>488</v>
      </c>
      <c r="G117" t="s">
        <v>489</v>
      </c>
      <c r="H117" t="s">
        <v>85</v>
      </c>
      <c r="I117">
        <v>1</v>
      </c>
      <c r="J117" s="4">
        <v>45065</v>
      </c>
      <c r="K117" s="4">
        <v>45065</v>
      </c>
      <c r="L117" s="5">
        <v>0.61319444444444449</v>
      </c>
      <c r="M117" s="5">
        <v>0.65277777777777779</v>
      </c>
      <c r="N117">
        <v>55.530740000000002</v>
      </c>
      <c r="O117">
        <v>13.879630000000001</v>
      </c>
      <c r="P117">
        <v>429282</v>
      </c>
      <c r="Q117">
        <v>6154424</v>
      </c>
      <c r="R117" t="s">
        <v>490</v>
      </c>
      <c r="S117">
        <v>310</v>
      </c>
      <c r="T117" t="s">
        <v>499</v>
      </c>
      <c r="U117" t="s">
        <v>492</v>
      </c>
      <c r="V117" t="s">
        <v>493</v>
      </c>
      <c r="W117" t="s">
        <v>494</v>
      </c>
      <c r="X117" t="s">
        <v>494</v>
      </c>
      <c r="Y117" t="s">
        <v>717</v>
      </c>
      <c r="Z117">
        <v>1</v>
      </c>
      <c r="AA117">
        <v>1</v>
      </c>
      <c r="AE117" t="s">
        <v>538</v>
      </c>
      <c r="AF117" t="s">
        <v>496</v>
      </c>
      <c r="AG117" t="b">
        <v>0</v>
      </c>
      <c r="AH117" t="b">
        <v>0</v>
      </c>
      <c r="AI117" t="b">
        <v>0</v>
      </c>
      <c r="AK117" t="s">
        <v>497</v>
      </c>
      <c r="AL117" t="b">
        <v>0</v>
      </c>
      <c r="AM117" t="b">
        <v>0</v>
      </c>
    </row>
    <row r="118" spans="1:39">
      <c r="A118" t="s">
        <v>718</v>
      </c>
      <c r="B118" t="b">
        <v>1</v>
      </c>
      <c r="C118">
        <v>102990</v>
      </c>
      <c r="D118" t="s">
        <v>39</v>
      </c>
      <c r="E118" t="s">
        <v>40</v>
      </c>
      <c r="F118" t="s">
        <v>488</v>
      </c>
      <c r="G118" t="s">
        <v>489</v>
      </c>
      <c r="H118" t="s">
        <v>41</v>
      </c>
      <c r="I118">
        <v>1</v>
      </c>
      <c r="J118" s="4">
        <v>45029</v>
      </c>
      <c r="K118" s="4">
        <v>45029</v>
      </c>
      <c r="L118" s="5">
        <v>0.41666666666666669</v>
      </c>
      <c r="M118" s="5">
        <v>0.47916666666666669</v>
      </c>
      <c r="N118">
        <v>55.530740000000002</v>
      </c>
      <c r="O118">
        <v>13.879630000000001</v>
      </c>
      <c r="P118">
        <v>429282</v>
      </c>
      <c r="Q118">
        <v>6154424</v>
      </c>
      <c r="R118" t="s">
        <v>490</v>
      </c>
      <c r="S118">
        <v>310</v>
      </c>
      <c r="T118" t="s">
        <v>499</v>
      </c>
      <c r="U118" t="s">
        <v>492</v>
      </c>
      <c r="V118" t="s">
        <v>493</v>
      </c>
      <c r="W118" t="s">
        <v>494</v>
      </c>
      <c r="X118" t="s">
        <v>494</v>
      </c>
      <c r="Y118" t="s">
        <v>645</v>
      </c>
      <c r="Z118">
        <v>1</v>
      </c>
      <c r="AA118">
        <v>1</v>
      </c>
      <c r="AE118" t="s">
        <v>42</v>
      </c>
      <c r="AF118" t="s">
        <v>496</v>
      </c>
      <c r="AG118" t="b">
        <v>0</v>
      </c>
      <c r="AH118" t="b">
        <v>0</v>
      </c>
      <c r="AI118" t="b">
        <v>0</v>
      </c>
      <c r="AK118" t="s">
        <v>497</v>
      </c>
      <c r="AL118" t="b">
        <v>0</v>
      </c>
      <c r="AM118" t="b">
        <v>0</v>
      </c>
    </row>
    <row r="119" spans="1:39">
      <c r="A119" t="s">
        <v>719</v>
      </c>
      <c r="B119" t="b">
        <v>1</v>
      </c>
      <c r="C119">
        <v>102626</v>
      </c>
      <c r="D119" t="s">
        <v>318</v>
      </c>
      <c r="E119" t="s">
        <v>319</v>
      </c>
      <c r="F119" t="s">
        <v>488</v>
      </c>
      <c r="G119" t="s">
        <v>489</v>
      </c>
      <c r="H119" t="s">
        <v>46</v>
      </c>
      <c r="I119">
        <v>1</v>
      </c>
      <c r="J119" s="4">
        <v>45087</v>
      </c>
      <c r="K119" s="4">
        <v>45087</v>
      </c>
      <c r="N119">
        <v>55.525739999999999</v>
      </c>
      <c r="O119">
        <v>13.93807</v>
      </c>
      <c r="P119">
        <v>432962</v>
      </c>
      <c r="Q119">
        <v>6153810</v>
      </c>
      <c r="R119" t="s">
        <v>490</v>
      </c>
      <c r="S119">
        <v>1981</v>
      </c>
      <c r="T119" t="s">
        <v>524</v>
      </c>
      <c r="U119" t="s">
        <v>525</v>
      </c>
      <c r="V119" t="s">
        <v>504</v>
      </c>
      <c r="W119" t="s">
        <v>494</v>
      </c>
      <c r="X119" t="s">
        <v>494</v>
      </c>
      <c r="Y119" t="s">
        <v>720</v>
      </c>
      <c r="Z119">
        <v>1</v>
      </c>
      <c r="AA119">
        <v>1</v>
      </c>
      <c r="AD119" t="s">
        <v>510</v>
      </c>
      <c r="AE119" t="s">
        <v>538</v>
      </c>
      <c r="AF119" t="s">
        <v>496</v>
      </c>
      <c r="AG119" t="b">
        <v>0</v>
      </c>
      <c r="AH119" t="b">
        <v>0</v>
      </c>
      <c r="AI119" t="b">
        <v>0</v>
      </c>
      <c r="AK119" t="s">
        <v>497</v>
      </c>
      <c r="AL119" t="b">
        <v>0</v>
      </c>
      <c r="AM119" t="b">
        <v>0</v>
      </c>
    </row>
    <row r="120" spans="1:39">
      <c r="A120" t="s">
        <v>721</v>
      </c>
      <c r="B120" t="b">
        <v>1</v>
      </c>
      <c r="C120">
        <v>100124</v>
      </c>
      <c r="D120" t="s">
        <v>352</v>
      </c>
      <c r="E120" t="s">
        <v>353</v>
      </c>
      <c r="F120" t="s">
        <v>488</v>
      </c>
      <c r="G120" t="s">
        <v>489</v>
      </c>
      <c r="H120" t="s">
        <v>81</v>
      </c>
      <c r="I120">
        <v>1</v>
      </c>
      <c r="J120" s="4">
        <v>44716</v>
      </c>
      <c r="K120" s="4">
        <v>44716</v>
      </c>
      <c r="L120" s="5">
        <v>0.45833333333333331</v>
      </c>
      <c r="M120" s="5">
        <v>0.45833333333333331</v>
      </c>
      <c r="N120">
        <v>55.548569999999998</v>
      </c>
      <c r="O120">
        <v>13.97132</v>
      </c>
      <c r="P120">
        <v>435099</v>
      </c>
      <c r="Q120">
        <v>6156319</v>
      </c>
      <c r="R120" t="s">
        <v>490</v>
      </c>
      <c r="S120">
        <v>200</v>
      </c>
      <c r="T120" t="s">
        <v>658</v>
      </c>
      <c r="U120" t="s">
        <v>508</v>
      </c>
      <c r="V120" t="s">
        <v>504</v>
      </c>
      <c r="W120" t="s">
        <v>494</v>
      </c>
      <c r="X120" t="s">
        <v>494</v>
      </c>
      <c r="Y120" t="s">
        <v>536</v>
      </c>
      <c r="Z120">
        <v>20</v>
      </c>
      <c r="AA120">
        <v>20</v>
      </c>
      <c r="AE120" t="s">
        <v>431</v>
      </c>
      <c r="AF120" t="s">
        <v>496</v>
      </c>
      <c r="AG120" t="b">
        <v>0</v>
      </c>
      <c r="AH120" t="b">
        <v>0</v>
      </c>
      <c r="AI120" t="b">
        <v>0</v>
      </c>
      <c r="AK120" t="s">
        <v>497</v>
      </c>
      <c r="AL120" t="b">
        <v>0</v>
      </c>
      <c r="AM120" t="b">
        <v>0</v>
      </c>
    </row>
    <row r="121" spans="1:39">
      <c r="A121" t="s">
        <v>722</v>
      </c>
      <c r="B121" t="b">
        <v>1</v>
      </c>
      <c r="C121">
        <v>100049</v>
      </c>
      <c r="D121" t="s">
        <v>295</v>
      </c>
      <c r="E121" t="s">
        <v>296</v>
      </c>
      <c r="F121" t="s">
        <v>488</v>
      </c>
      <c r="G121" t="s">
        <v>489</v>
      </c>
      <c r="H121" t="s">
        <v>46</v>
      </c>
      <c r="I121">
        <v>1</v>
      </c>
      <c r="J121" s="4">
        <v>44747</v>
      </c>
      <c r="K121" s="4">
        <v>44747</v>
      </c>
      <c r="L121" s="5">
        <v>0.72916666666666663</v>
      </c>
      <c r="M121" s="5">
        <v>0.79166666666666663</v>
      </c>
      <c r="N121">
        <v>55.530740000000002</v>
      </c>
      <c r="O121">
        <v>13.879630000000001</v>
      </c>
      <c r="P121">
        <v>429282</v>
      </c>
      <c r="Q121">
        <v>6154424</v>
      </c>
      <c r="R121" t="s">
        <v>490</v>
      </c>
      <c r="S121">
        <v>310</v>
      </c>
      <c r="T121" t="s">
        <v>499</v>
      </c>
      <c r="U121" t="s">
        <v>492</v>
      </c>
      <c r="V121" t="s">
        <v>493</v>
      </c>
      <c r="W121" t="s">
        <v>494</v>
      </c>
      <c r="X121" t="s">
        <v>494</v>
      </c>
      <c r="Y121" t="s">
        <v>536</v>
      </c>
      <c r="Z121">
        <v>1</v>
      </c>
      <c r="AA121">
        <v>1</v>
      </c>
      <c r="AE121" t="s">
        <v>542</v>
      </c>
      <c r="AF121" t="s">
        <v>496</v>
      </c>
      <c r="AG121" t="b">
        <v>0</v>
      </c>
      <c r="AH121" t="b">
        <v>0</v>
      </c>
      <c r="AI121" t="b">
        <v>0</v>
      </c>
      <c r="AK121" t="s">
        <v>497</v>
      </c>
      <c r="AL121" t="b">
        <v>0</v>
      </c>
      <c r="AM121" t="b">
        <v>0</v>
      </c>
    </row>
    <row r="122" spans="1:39">
      <c r="A122" t="s">
        <v>723</v>
      </c>
      <c r="B122" t="b">
        <v>1</v>
      </c>
      <c r="C122">
        <v>100049</v>
      </c>
      <c r="D122" t="s">
        <v>295</v>
      </c>
      <c r="E122" t="s">
        <v>296</v>
      </c>
      <c r="F122" t="s">
        <v>488</v>
      </c>
      <c r="G122" t="s">
        <v>489</v>
      </c>
      <c r="H122" t="s">
        <v>46</v>
      </c>
      <c r="I122">
        <v>1</v>
      </c>
      <c r="J122" s="4">
        <v>45046</v>
      </c>
      <c r="K122" s="4">
        <v>45046</v>
      </c>
      <c r="L122" s="5">
        <v>0.61944444444444446</v>
      </c>
      <c r="M122" s="5">
        <v>0.61944444444444446</v>
      </c>
      <c r="N122">
        <v>55.555990000000001</v>
      </c>
      <c r="O122">
        <v>13.8973</v>
      </c>
      <c r="P122">
        <v>430442</v>
      </c>
      <c r="Q122">
        <v>6157216</v>
      </c>
      <c r="R122" t="s">
        <v>490</v>
      </c>
      <c r="S122">
        <v>400</v>
      </c>
      <c r="T122" t="s">
        <v>575</v>
      </c>
      <c r="U122" t="s">
        <v>532</v>
      </c>
      <c r="V122" t="s">
        <v>504</v>
      </c>
      <c r="W122" t="s">
        <v>494</v>
      </c>
      <c r="X122" t="s">
        <v>494</v>
      </c>
      <c r="Y122" t="s">
        <v>724</v>
      </c>
      <c r="Z122">
        <v>1</v>
      </c>
      <c r="AA122">
        <v>1</v>
      </c>
      <c r="AD122" t="s">
        <v>725</v>
      </c>
      <c r="AE122" t="s">
        <v>538</v>
      </c>
      <c r="AF122" t="s">
        <v>496</v>
      </c>
      <c r="AG122" t="b">
        <v>0</v>
      </c>
      <c r="AH122" t="b">
        <v>0</v>
      </c>
      <c r="AI122" t="b">
        <v>0</v>
      </c>
      <c r="AK122" t="s">
        <v>497</v>
      </c>
      <c r="AL122" t="b">
        <v>0</v>
      </c>
      <c r="AM122" t="b">
        <v>0</v>
      </c>
    </row>
    <row r="123" spans="1:39">
      <c r="A123" t="s">
        <v>726</v>
      </c>
      <c r="B123" t="b">
        <v>1</v>
      </c>
      <c r="C123">
        <v>102104</v>
      </c>
      <c r="D123" t="s">
        <v>126</v>
      </c>
      <c r="E123" t="s">
        <v>127</v>
      </c>
      <c r="F123" t="s">
        <v>488</v>
      </c>
      <c r="G123" t="s">
        <v>489</v>
      </c>
      <c r="H123" t="s">
        <v>46</v>
      </c>
      <c r="I123">
        <v>1</v>
      </c>
      <c r="J123" s="4">
        <v>45441</v>
      </c>
      <c r="K123" s="4">
        <v>45441</v>
      </c>
      <c r="L123" s="5">
        <v>0.375</v>
      </c>
      <c r="M123" s="5">
        <v>0.375</v>
      </c>
      <c r="N123">
        <v>55.54081</v>
      </c>
      <c r="O123">
        <v>13.95609</v>
      </c>
      <c r="P123">
        <v>434125</v>
      </c>
      <c r="Q123">
        <v>6155470</v>
      </c>
      <c r="R123" t="s">
        <v>490</v>
      </c>
      <c r="S123">
        <v>1500</v>
      </c>
      <c r="T123" t="s">
        <v>507</v>
      </c>
      <c r="U123" t="s">
        <v>508</v>
      </c>
      <c r="V123" t="s">
        <v>504</v>
      </c>
      <c r="W123" t="s">
        <v>494</v>
      </c>
      <c r="X123" t="s">
        <v>494</v>
      </c>
      <c r="Y123" t="s">
        <v>572</v>
      </c>
      <c r="Z123">
        <v>2</v>
      </c>
      <c r="AA123">
        <v>2</v>
      </c>
      <c r="AD123" t="s">
        <v>527</v>
      </c>
      <c r="AE123" t="s">
        <v>42</v>
      </c>
      <c r="AF123" t="s">
        <v>496</v>
      </c>
      <c r="AG123" t="b">
        <v>0</v>
      </c>
      <c r="AH123" t="b">
        <v>0</v>
      </c>
      <c r="AI123" t="b">
        <v>0</v>
      </c>
      <c r="AK123" t="s">
        <v>497</v>
      </c>
      <c r="AL123" t="b">
        <v>0</v>
      </c>
      <c r="AM123" t="b">
        <v>0</v>
      </c>
    </row>
    <row r="124" spans="1:39">
      <c r="A124" t="s">
        <v>727</v>
      </c>
      <c r="B124" t="b">
        <v>1</v>
      </c>
      <c r="C124">
        <v>103055</v>
      </c>
      <c r="D124" t="s">
        <v>413</v>
      </c>
      <c r="E124" t="s">
        <v>414</v>
      </c>
      <c r="F124" t="s">
        <v>488</v>
      </c>
      <c r="G124" t="s">
        <v>489</v>
      </c>
      <c r="H124" t="s">
        <v>41</v>
      </c>
      <c r="I124">
        <v>1</v>
      </c>
      <c r="J124" s="4">
        <v>45397</v>
      </c>
      <c r="K124" s="4">
        <v>45397</v>
      </c>
      <c r="N124">
        <v>55.524630000000002</v>
      </c>
      <c r="O124">
        <v>13.906879999999999</v>
      </c>
      <c r="P124">
        <v>430992</v>
      </c>
      <c r="Q124">
        <v>6153717</v>
      </c>
      <c r="R124" t="s">
        <v>490</v>
      </c>
      <c r="S124">
        <v>500</v>
      </c>
      <c r="T124" t="s">
        <v>545</v>
      </c>
      <c r="U124" t="s">
        <v>525</v>
      </c>
      <c r="V124" t="s">
        <v>504</v>
      </c>
      <c r="W124" t="s">
        <v>494</v>
      </c>
      <c r="X124" t="s">
        <v>494</v>
      </c>
      <c r="Y124" t="s">
        <v>526</v>
      </c>
      <c r="Z124">
        <v>1</v>
      </c>
      <c r="AA124">
        <v>1</v>
      </c>
      <c r="AE124" t="s">
        <v>42</v>
      </c>
      <c r="AF124" t="s">
        <v>496</v>
      </c>
      <c r="AG124" t="b">
        <v>0</v>
      </c>
      <c r="AH124" t="b">
        <v>0</v>
      </c>
      <c r="AI124" t="b">
        <v>0</v>
      </c>
      <c r="AK124" t="s">
        <v>497</v>
      </c>
      <c r="AL124" t="b">
        <v>0</v>
      </c>
      <c r="AM124" t="b">
        <v>0</v>
      </c>
    </row>
    <row r="125" spans="1:39">
      <c r="A125" t="s">
        <v>728</v>
      </c>
      <c r="B125" t="b">
        <v>1</v>
      </c>
      <c r="C125">
        <v>103042</v>
      </c>
      <c r="D125" t="s">
        <v>398</v>
      </c>
      <c r="E125" t="s">
        <v>399</v>
      </c>
      <c r="F125" t="s">
        <v>488</v>
      </c>
      <c r="G125" t="s">
        <v>489</v>
      </c>
      <c r="H125" t="s">
        <v>85</v>
      </c>
      <c r="I125">
        <v>1</v>
      </c>
      <c r="J125" s="4">
        <v>46088</v>
      </c>
      <c r="K125" s="4">
        <v>46088</v>
      </c>
      <c r="L125" s="5">
        <v>0.36388888888888887</v>
      </c>
      <c r="M125" s="5">
        <v>0.40625</v>
      </c>
      <c r="N125">
        <v>55.555309999999999</v>
      </c>
      <c r="O125">
        <v>13.8569</v>
      </c>
      <c r="P125">
        <v>427893</v>
      </c>
      <c r="Q125">
        <v>6157182</v>
      </c>
      <c r="R125" t="s">
        <v>490</v>
      </c>
      <c r="S125">
        <v>140</v>
      </c>
      <c r="T125" t="s">
        <v>491</v>
      </c>
      <c r="U125" t="s">
        <v>492</v>
      </c>
      <c r="V125" t="s">
        <v>493</v>
      </c>
      <c r="W125" t="s">
        <v>494</v>
      </c>
      <c r="X125" t="s">
        <v>494</v>
      </c>
      <c r="Y125" t="s">
        <v>729</v>
      </c>
      <c r="AE125" t="s">
        <v>42</v>
      </c>
      <c r="AF125" t="s">
        <v>496</v>
      </c>
      <c r="AG125" t="b">
        <v>0</v>
      </c>
      <c r="AH125" t="b">
        <v>0</v>
      </c>
      <c r="AI125" t="b">
        <v>0</v>
      </c>
      <c r="AK125" t="s">
        <v>497</v>
      </c>
      <c r="AL125" t="b">
        <v>0</v>
      </c>
      <c r="AM125" t="b">
        <v>0</v>
      </c>
    </row>
    <row r="126" spans="1:39">
      <c r="A126" t="s">
        <v>730</v>
      </c>
      <c r="B126" t="b">
        <v>1</v>
      </c>
      <c r="C126">
        <v>102950</v>
      </c>
      <c r="D126" t="s">
        <v>150</v>
      </c>
      <c r="E126" t="s">
        <v>151</v>
      </c>
      <c r="F126" t="s">
        <v>488</v>
      </c>
      <c r="G126" t="s">
        <v>489</v>
      </c>
      <c r="H126" t="s">
        <v>41</v>
      </c>
      <c r="I126">
        <v>1</v>
      </c>
      <c r="J126" s="4">
        <v>45821</v>
      </c>
      <c r="K126" s="4">
        <v>45821</v>
      </c>
      <c r="L126" s="5">
        <v>0.5625</v>
      </c>
      <c r="M126" s="5">
        <v>0.57291666666666663</v>
      </c>
      <c r="N126">
        <v>55.54806</v>
      </c>
      <c r="O126">
        <v>13.949949999999999</v>
      </c>
      <c r="P126">
        <v>433750</v>
      </c>
      <c r="Q126">
        <v>6156283</v>
      </c>
      <c r="R126" t="s">
        <v>490</v>
      </c>
      <c r="S126">
        <v>50</v>
      </c>
      <c r="T126" t="s">
        <v>570</v>
      </c>
      <c r="U126" t="s">
        <v>508</v>
      </c>
      <c r="V126" t="s">
        <v>504</v>
      </c>
      <c r="W126" t="s">
        <v>494</v>
      </c>
      <c r="X126" t="s">
        <v>494</v>
      </c>
      <c r="Y126" t="s">
        <v>536</v>
      </c>
      <c r="Z126">
        <v>2</v>
      </c>
      <c r="AA126">
        <v>2</v>
      </c>
      <c r="AE126" t="s">
        <v>538</v>
      </c>
      <c r="AF126" t="s">
        <v>496</v>
      </c>
      <c r="AG126" t="b">
        <v>0</v>
      </c>
      <c r="AH126" t="b">
        <v>0</v>
      </c>
      <c r="AI126" t="b">
        <v>0</v>
      </c>
      <c r="AK126" t="s">
        <v>497</v>
      </c>
      <c r="AL126" t="b">
        <v>0</v>
      </c>
      <c r="AM126" t="b">
        <v>0</v>
      </c>
    </row>
    <row r="127" spans="1:39">
      <c r="A127" t="s">
        <v>731</v>
      </c>
      <c r="B127" t="b">
        <v>1</v>
      </c>
      <c r="C127">
        <v>100043</v>
      </c>
      <c r="D127" t="s">
        <v>124</v>
      </c>
      <c r="E127" t="s">
        <v>125</v>
      </c>
      <c r="F127" t="s">
        <v>488</v>
      </c>
      <c r="G127" t="s">
        <v>489</v>
      </c>
      <c r="H127" t="s">
        <v>46</v>
      </c>
      <c r="I127">
        <v>1</v>
      </c>
      <c r="J127" s="4">
        <v>45863</v>
      </c>
      <c r="K127" s="4">
        <v>45863</v>
      </c>
      <c r="L127" s="5">
        <v>6.25E-2</v>
      </c>
      <c r="M127" s="5">
        <v>6.25E-2</v>
      </c>
      <c r="N127">
        <v>55.5259</v>
      </c>
      <c r="O127">
        <v>13.901389999999999</v>
      </c>
      <c r="P127">
        <v>430647</v>
      </c>
      <c r="Q127">
        <v>6153863</v>
      </c>
      <c r="R127" t="s">
        <v>490</v>
      </c>
      <c r="S127">
        <v>50</v>
      </c>
      <c r="T127" t="s">
        <v>732</v>
      </c>
      <c r="U127" t="s">
        <v>525</v>
      </c>
      <c r="V127" t="s">
        <v>504</v>
      </c>
      <c r="W127" t="s">
        <v>494</v>
      </c>
      <c r="X127" t="s">
        <v>494</v>
      </c>
      <c r="Y127" t="s">
        <v>733</v>
      </c>
      <c r="Z127">
        <v>1</v>
      </c>
      <c r="AA127">
        <v>1</v>
      </c>
      <c r="AE127" t="s">
        <v>42</v>
      </c>
      <c r="AF127" t="s">
        <v>496</v>
      </c>
      <c r="AG127" t="b">
        <v>0</v>
      </c>
      <c r="AH127" t="b">
        <v>0</v>
      </c>
      <c r="AI127" t="b">
        <v>0</v>
      </c>
      <c r="AK127" t="s">
        <v>497</v>
      </c>
      <c r="AL127" t="b">
        <v>0</v>
      </c>
      <c r="AM127" t="b">
        <v>0</v>
      </c>
    </row>
    <row r="128" spans="1:39">
      <c r="A128" t="s">
        <v>734</v>
      </c>
      <c r="B128" t="b">
        <v>1</v>
      </c>
      <c r="C128">
        <v>102104</v>
      </c>
      <c r="D128" t="s">
        <v>126</v>
      </c>
      <c r="E128" t="s">
        <v>127</v>
      </c>
      <c r="F128" t="s">
        <v>488</v>
      </c>
      <c r="G128" t="s">
        <v>489</v>
      </c>
      <c r="H128" t="s">
        <v>46</v>
      </c>
      <c r="I128">
        <v>1</v>
      </c>
      <c r="J128" s="4">
        <v>45735</v>
      </c>
      <c r="K128" s="4">
        <v>45735</v>
      </c>
      <c r="L128" s="5">
        <v>0.625</v>
      </c>
      <c r="M128" s="5">
        <v>0.625</v>
      </c>
      <c r="N128">
        <v>55.54081</v>
      </c>
      <c r="O128">
        <v>13.95609</v>
      </c>
      <c r="P128">
        <v>434125</v>
      </c>
      <c r="Q128">
        <v>6155470</v>
      </c>
      <c r="R128" t="s">
        <v>490</v>
      </c>
      <c r="S128">
        <v>1500</v>
      </c>
      <c r="T128" t="s">
        <v>507</v>
      </c>
      <c r="U128" t="s">
        <v>508</v>
      </c>
      <c r="V128" t="s">
        <v>504</v>
      </c>
      <c r="W128" t="s">
        <v>494</v>
      </c>
      <c r="X128" t="s">
        <v>494</v>
      </c>
      <c r="Y128" t="s">
        <v>572</v>
      </c>
      <c r="Z128">
        <v>2</v>
      </c>
      <c r="AA128">
        <v>2</v>
      </c>
      <c r="AE128" t="s">
        <v>42</v>
      </c>
      <c r="AF128" t="s">
        <v>496</v>
      </c>
      <c r="AG128" t="b">
        <v>0</v>
      </c>
      <c r="AH128" t="b">
        <v>0</v>
      </c>
      <c r="AI128" t="b">
        <v>0</v>
      </c>
      <c r="AK128" t="s">
        <v>497</v>
      </c>
      <c r="AL128" t="b">
        <v>0</v>
      </c>
      <c r="AM128" t="b">
        <v>0</v>
      </c>
    </row>
    <row r="129" spans="1:39">
      <c r="A129" t="s">
        <v>735</v>
      </c>
      <c r="B129" t="b">
        <v>1</v>
      </c>
      <c r="C129">
        <v>102952</v>
      </c>
      <c r="D129" t="s">
        <v>158</v>
      </c>
      <c r="E129" t="s">
        <v>159</v>
      </c>
      <c r="F129" t="s">
        <v>488</v>
      </c>
      <c r="G129" t="s">
        <v>489</v>
      </c>
      <c r="H129" t="s">
        <v>85</v>
      </c>
      <c r="I129">
        <v>1</v>
      </c>
      <c r="J129" s="4">
        <v>45765</v>
      </c>
      <c r="K129" s="4">
        <v>45765</v>
      </c>
      <c r="L129" s="5">
        <v>0.51388888888888884</v>
      </c>
      <c r="M129" s="5">
        <v>0.59722222222222221</v>
      </c>
      <c r="N129">
        <v>55.515189999999997</v>
      </c>
      <c r="O129">
        <v>13.899330000000001</v>
      </c>
      <c r="P129">
        <v>430498</v>
      </c>
      <c r="Q129">
        <v>6152673</v>
      </c>
      <c r="R129" t="s">
        <v>490</v>
      </c>
      <c r="S129">
        <v>125</v>
      </c>
      <c r="T129" t="s">
        <v>552</v>
      </c>
      <c r="U129" t="s">
        <v>525</v>
      </c>
      <c r="V129" t="s">
        <v>504</v>
      </c>
      <c r="W129" t="s">
        <v>494</v>
      </c>
      <c r="X129" t="s">
        <v>494</v>
      </c>
      <c r="Y129" t="s">
        <v>536</v>
      </c>
      <c r="Z129">
        <v>1</v>
      </c>
      <c r="AA129">
        <v>1</v>
      </c>
      <c r="AE129" t="s">
        <v>538</v>
      </c>
      <c r="AF129" t="s">
        <v>496</v>
      </c>
      <c r="AG129" t="b">
        <v>0</v>
      </c>
      <c r="AH129" t="b">
        <v>0</v>
      </c>
      <c r="AI129" t="b">
        <v>0</v>
      </c>
      <c r="AK129" t="s">
        <v>497</v>
      </c>
      <c r="AL129" t="b">
        <v>0</v>
      </c>
      <c r="AM129" t="b">
        <v>0</v>
      </c>
    </row>
    <row r="130" spans="1:39">
      <c r="A130" t="s">
        <v>736</v>
      </c>
      <c r="B130" t="b">
        <v>1</v>
      </c>
      <c r="C130">
        <v>100124</v>
      </c>
      <c r="D130" t="s">
        <v>352</v>
      </c>
      <c r="E130" t="s">
        <v>353</v>
      </c>
      <c r="F130" t="s">
        <v>488</v>
      </c>
      <c r="G130" t="s">
        <v>489</v>
      </c>
      <c r="H130" t="s">
        <v>81</v>
      </c>
      <c r="I130">
        <v>1</v>
      </c>
      <c r="J130" s="4">
        <v>45785</v>
      </c>
      <c r="K130" s="4">
        <v>45785</v>
      </c>
      <c r="N130">
        <v>55.548259999999999</v>
      </c>
      <c r="O130">
        <v>13.96992</v>
      </c>
      <c r="P130">
        <v>435010</v>
      </c>
      <c r="Q130">
        <v>6156285</v>
      </c>
      <c r="R130" t="s">
        <v>490</v>
      </c>
      <c r="S130">
        <v>25</v>
      </c>
      <c r="T130" t="s">
        <v>737</v>
      </c>
      <c r="U130" t="s">
        <v>508</v>
      </c>
      <c r="V130" t="s">
        <v>504</v>
      </c>
      <c r="W130" t="s">
        <v>494</v>
      </c>
      <c r="X130" t="s">
        <v>494</v>
      </c>
      <c r="Y130" t="s">
        <v>738</v>
      </c>
      <c r="Z130">
        <v>20</v>
      </c>
      <c r="AA130">
        <v>20</v>
      </c>
      <c r="AE130" t="s">
        <v>52</v>
      </c>
      <c r="AF130" t="s">
        <v>496</v>
      </c>
      <c r="AG130" t="b">
        <v>0</v>
      </c>
      <c r="AH130" t="b">
        <v>0</v>
      </c>
      <c r="AI130" t="b">
        <v>0</v>
      </c>
      <c r="AK130" t="s">
        <v>497</v>
      </c>
      <c r="AL130" t="b">
        <v>0</v>
      </c>
      <c r="AM130" t="b">
        <v>0</v>
      </c>
    </row>
    <row r="131" spans="1:39">
      <c r="A131" t="s">
        <v>739</v>
      </c>
      <c r="B131" t="b">
        <v>1</v>
      </c>
      <c r="C131">
        <v>102977</v>
      </c>
      <c r="D131" t="s">
        <v>47</v>
      </c>
      <c r="E131" t="s">
        <v>48</v>
      </c>
      <c r="F131" t="s">
        <v>488</v>
      </c>
      <c r="G131" t="s">
        <v>489</v>
      </c>
      <c r="H131" t="s">
        <v>46</v>
      </c>
      <c r="I131">
        <v>1</v>
      </c>
      <c r="J131" s="4">
        <v>45724</v>
      </c>
      <c r="K131" s="4">
        <v>45724</v>
      </c>
      <c r="N131">
        <v>55.556199999999997</v>
      </c>
      <c r="O131">
        <v>13.93919</v>
      </c>
      <c r="P131">
        <v>433085</v>
      </c>
      <c r="Q131">
        <v>6157198</v>
      </c>
      <c r="R131" t="s">
        <v>490</v>
      </c>
      <c r="S131">
        <v>25</v>
      </c>
      <c r="T131" t="s">
        <v>554</v>
      </c>
      <c r="U131" t="s">
        <v>508</v>
      </c>
      <c r="V131" t="s">
        <v>504</v>
      </c>
      <c r="W131" t="s">
        <v>494</v>
      </c>
      <c r="X131" t="s">
        <v>494</v>
      </c>
      <c r="Y131" t="s">
        <v>555</v>
      </c>
      <c r="Z131">
        <v>1</v>
      </c>
      <c r="AA131">
        <v>1</v>
      </c>
      <c r="AE131" t="s">
        <v>42</v>
      </c>
      <c r="AF131" t="s">
        <v>496</v>
      </c>
      <c r="AG131" t="b">
        <v>0</v>
      </c>
      <c r="AH131" t="b">
        <v>0</v>
      </c>
      <c r="AI131" t="b">
        <v>0</v>
      </c>
      <c r="AK131" t="s">
        <v>497</v>
      </c>
      <c r="AL131" t="b">
        <v>0</v>
      </c>
      <c r="AM131" t="b">
        <v>0</v>
      </c>
    </row>
    <row r="132" spans="1:39">
      <c r="A132" t="s">
        <v>740</v>
      </c>
      <c r="B132" t="b">
        <v>1</v>
      </c>
      <c r="C132">
        <v>100114</v>
      </c>
      <c r="D132" t="s">
        <v>49</v>
      </c>
      <c r="E132" t="s">
        <v>50</v>
      </c>
      <c r="F132" t="s">
        <v>488</v>
      </c>
      <c r="G132" t="s">
        <v>489</v>
      </c>
      <c r="H132" t="s">
        <v>41</v>
      </c>
      <c r="I132">
        <v>1</v>
      </c>
      <c r="J132" s="4">
        <v>38886</v>
      </c>
      <c r="K132" s="4">
        <v>38886</v>
      </c>
      <c r="L132" s="5">
        <v>0</v>
      </c>
      <c r="M132" s="5">
        <v>0</v>
      </c>
      <c r="N132">
        <v>55.54081</v>
      </c>
      <c r="O132">
        <v>13.95609</v>
      </c>
      <c r="P132">
        <v>434125</v>
      </c>
      <c r="Q132">
        <v>6155470</v>
      </c>
      <c r="R132" t="s">
        <v>490</v>
      </c>
      <c r="S132">
        <v>1500</v>
      </c>
      <c r="T132" t="s">
        <v>507</v>
      </c>
      <c r="U132" t="s">
        <v>508</v>
      </c>
      <c r="V132" t="s">
        <v>504</v>
      </c>
      <c r="W132" t="s">
        <v>494</v>
      </c>
      <c r="X132" t="s">
        <v>494</v>
      </c>
      <c r="Y132" t="s">
        <v>741</v>
      </c>
      <c r="Z132">
        <v>4</v>
      </c>
      <c r="AA132">
        <v>4</v>
      </c>
      <c r="AC132" t="s">
        <v>512</v>
      </c>
      <c r="AE132" t="s">
        <v>62</v>
      </c>
      <c r="AF132" t="s">
        <v>496</v>
      </c>
      <c r="AG132" t="b">
        <v>0</v>
      </c>
      <c r="AH132" t="b">
        <v>0</v>
      </c>
      <c r="AI132" t="b">
        <v>0</v>
      </c>
      <c r="AK132" t="s">
        <v>497</v>
      </c>
      <c r="AL132" t="b">
        <v>0</v>
      </c>
      <c r="AM132" t="b">
        <v>0</v>
      </c>
    </row>
    <row r="133" spans="1:39">
      <c r="A133" t="s">
        <v>742</v>
      </c>
      <c r="B133" t="b">
        <v>1</v>
      </c>
      <c r="C133">
        <v>100049</v>
      </c>
      <c r="D133" t="s">
        <v>295</v>
      </c>
      <c r="E133" t="s">
        <v>296</v>
      </c>
      <c r="F133" t="s">
        <v>488</v>
      </c>
      <c r="G133" t="s">
        <v>489</v>
      </c>
      <c r="H133" t="s">
        <v>46</v>
      </c>
      <c r="I133">
        <v>1</v>
      </c>
      <c r="J133" s="4">
        <v>40344</v>
      </c>
      <c r="K133" s="4">
        <v>40344</v>
      </c>
      <c r="L133" s="5">
        <v>0</v>
      </c>
      <c r="M133" s="5">
        <v>0</v>
      </c>
      <c r="N133">
        <v>55.530740000000002</v>
      </c>
      <c r="O133">
        <v>13.879630000000001</v>
      </c>
      <c r="P133">
        <v>429282</v>
      </c>
      <c r="Q133">
        <v>6154424</v>
      </c>
      <c r="R133" t="s">
        <v>490</v>
      </c>
      <c r="S133">
        <v>310</v>
      </c>
      <c r="T133" t="s">
        <v>499</v>
      </c>
      <c r="U133" t="s">
        <v>492</v>
      </c>
      <c r="V133" t="s">
        <v>493</v>
      </c>
      <c r="W133" t="s">
        <v>494</v>
      </c>
      <c r="X133" t="s">
        <v>494</v>
      </c>
      <c r="Y133" t="s">
        <v>743</v>
      </c>
      <c r="Z133">
        <v>2</v>
      </c>
      <c r="AA133">
        <v>2</v>
      </c>
      <c r="AD133" t="s">
        <v>527</v>
      </c>
      <c r="AE133" t="s">
        <v>51</v>
      </c>
      <c r="AF133" t="s">
        <v>496</v>
      </c>
      <c r="AG133" t="b">
        <v>0</v>
      </c>
      <c r="AH133" t="b">
        <v>0</v>
      </c>
      <c r="AI133" t="b">
        <v>0</v>
      </c>
      <c r="AK133" t="s">
        <v>497</v>
      </c>
      <c r="AL133" t="b">
        <v>0</v>
      </c>
      <c r="AM133" t="b">
        <v>0</v>
      </c>
    </row>
    <row r="134" spans="1:39">
      <c r="A134" t="s">
        <v>744</v>
      </c>
      <c r="B134" t="b">
        <v>1</v>
      </c>
      <c r="C134">
        <v>103006</v>
      </c>
      <c r="D134" t="s">
        <v>342</v>
      </c>
      <c r="E134" t="s">
        <v>343</v>
      </c>
      <c r="F134" t="s">
        <v>488</v>
      </c>
      <c r="G134" t="s">
        <v>489</v>
      </c>
      <c r="H134" t="s">
        <v>41</v>
      </c>
      <c r="I134">
        <v>1</v>
      </c>
      <c r="J134" s="4">
        <v>41104</v>
      </c>
      <c r="K134" s="4">
        <v>41104</v>
      </c>
      <c r="L134" s="5">
        <v>0.60069444444444442</v>
      </c>
      <c r="M134" s="5">
        <v>0.625</v>
      </c>
      <c r="N134">
        <v>55.530740000000002</v>
      </c>
      <c r="O134">
        <v>13.879630000000001</v>
      </c>
      <c r="P134">
        <v>429282</v>
      </c>
      <c r="Q134">
        <v>6154424</v>
      </c>
      <c r="R134" t="s">
        <v>490</v>
      </c>
      <c r="S134">
        <v>310</v>
      </c>
      <c r="T134" t="s">
        <v>499</v>
      </c>
      <c r="U134" t="s">
        <v>492</v>
      </c>
      <c r="V134" t="s">
        <v>493</v>
      </c>
      <c r="W134" t="s">
        <v>494</v>
      </c>
      <c r="X134" t="s">
        <v>494</v>
      </c>
      <c r="Y134" t="s">
        <v>745</v>
      </c>
      <c r="Z134">
        <v>1</v>
      </c>
      <c r="AA134">
        <v>1</v>
      </c>
      <c r="AE134" t="s">
        <v>42</v>
      </c>
      <c r="AF134" t="s">
        <v>496</v>
      </c>
      <c r="AG134" t="b">
        <v>0</v>
      </c>
      <c r="AH134" t="b">
        <v>0</v>
      </c>
      <c r="AI134" t="b">
        <v>0</v>
      </c>
      <c r="AK134" t="s">
        <v>497</v>
      </c>
      <c r="AL134" t="b">
        <v>0</v>
      </c>
      <c r="AM134" t="b">
        <v>0</v>
      </c>
    </row>
    <row r="135" spans="1:39">
      <c r="A135" t="s">
        <v>746</v>
      </c>
      <c r="B135" t="b">
        <v>1</v>
      </c>
      <c r="C135">
        <v>103055</v>
      </c>
      <c r="D135" t="s">
        <v>413</v>
      </c>
      <c r="E135" t="s">
        <v>414</v>
      </c>
      <c r="F135" t="s">
        <v>488</v>
      </c>
      <c r="G135" t="s">
        <v>489</v>
      </c>
      <c r="H135" t="s">
        <v>41</v>
      </c>
      <c r="I135">
        <v>1</v>
      </c>
      <c r="J135" s="4">
        <v>41343</v>
      </c>
      <c r="K135" s="4">
        <v>41343</v>
      </c>
      <c r="L135" s="5">
        <v>0</v>
      </c>
      <c r="M135" s="5">
        <v>0</v>
      </c>
      <c r="N135">
        <v>55.555309999999999</v>
      </c>
      <c r="O135">
        <v>13.8569</v>
      </c>
      <c r="P135">
        <v>427893</v>
      </c>
      <c r="Q135">
        <v>6157182</v>
      </c>
      <c r="R135" t="s">
        <v>490</v>
      </c>
      <c r="S135">
        <v>140</v>
      </c>
      <c r="T135" t="s">
        <v>491</v>
      </c>
      <c r="U135" t="s">
        <v>492</v>
      </c>
      <c r="V135" t="s">
        <v>493</v>
      </c>
      <c r="W135" t="s">
        <v>494</v>
      </c>
      <c r="X135" t="s">
        <v>494</v>
      </c>
      <c r="Y135" t="s">
        <v>495</v>
      </c>
      <c r="Z135">
        <v>1</v>
      </c>
      <c r="AA135">
        <v>1</v>
      </c>
      <c r="AE135" t="s">
        <v>42</v>
      </c>
      <c r="AF135" t="s">
        <v>496</v>
      </c>
      <c r="AG135" t="b">
        <v>0</v>
      </c>
      <c r="AH135" t="b">
        <v>0</v>
      </c>
      <c r="AI135" t="b">
        <v>0</v>
      </c>
      <c r="AK135" t="s">
        <v>497</v>
      </c>
      <c r="AL135" t="b">
        <v>0</v>
      </c>
      <c r="AM135" t="b">
        <v>0</v>
      </c>
    </row>
    <row r="136" spans="1:39">
      <c r="A136" t="s">
        <v>747</v>
      </c>
      <c r="B136" t="b">
        <v>1</v>
      </c>
      <c r="C136">
        <v>103020</v>
      </c>
      <c r="D136" t="s">
        <v>328</v>
      </c>
      <c r="E136" t="s">
        <v>329</v>
      </c>
      <c r="F136" t="s">
        <v>488</v>
      </c>
      <c r="G136" t="s">
        <v>489</v>
      </c>
      <c r="H136" t="s">
        <v>41</v>
      </c>
      <c r="I136">
        <v>1</v>
      </c>
      <c r="J136" s="4">
        <v>41357</v>
      </c>
      <c r="K136" s="4">
        <v>41357</v>
      </c>
      <c r="L136" s="5">
        <v>0</v>
      </c>
      <c r="M136" s="5">
        <v>0</v>
      </c>
      <c r="N136">
        <v>55.527650000000001</v>
      </c>
      <c r="O136">
        <v>13.900119999999999</v>
      </c>
      <c r="P136">
        <v>430570</v>
      </c>
      <c r="Q136">
        <v>6154060</v>
      </c>
      <c r="R136" t="s">
        <v>490</v>
      </c>
      <c r="S136">
        <v>250</v>
      </c>
      <c r="T136" t="s">
        <v>578</v>
      </c>
      <c r="U136" t="s">
        <v>525</v>
      </c>
      <c r="V136" t="s">
        <v>504</v>
      </c>
      <c r="W136" t="s">
        <v>494</v>
      </c>
      <c r="X136" t="s">
        <v>494</v>
      </c>
      <c r="Y136" t="s">
        <v>581</v>
      </c>
      <c r="Z136">
        <v>2</v>
      </c>
      <c r="AA136">
        <v>2</v>
      </c>
      <c r="AD136" t="s">
        <v>527</v>
      </c>
      <c r="AE136" t="s">
        <v>51</v>
      </c>
      <c r="AF136" t="s">
        <v>496</v>
      </c>
      <c r="AG136" t="b">
        <v>0</v>
      </c>
      <c r="AH136" t="b">
        <v>0</v>
      </c>
      <c r="AI136" t="b">
        <v>0</v>
      </c>
      <c r="AK136" t="s">
        <v>497</v>
      </c>
      <c r="AL136" t="b">
        <v>0</v>
      </c>
      <c r="AM136" t="b">
        <v>0</v>
      </c>
    </row>
    <row r="137" spans="1:39">
      <c r="A137" t="s">
        <v>748</v>
      </c>
      <c r="B137" t="b">
        <v>1</v>
      </c>
      <c r="C137">
        <v>103055</v>
      </c>
      <c r="D137" t="s">
        <v>413</v>
      </c>
      <c r="E137" t="s">
        <v>414</v>
      </c>
      <c r="F137" t="s">
        <v>488</v>
      </c>
      <c r="G137" t="s">
        <v>489</v>
      </c>
      <c r="H137" t="s">
        <v>41</v>
      </c>
      <c r="I137">
        <v>1</v>
      </c>
      <c r="J137" s="4">
        <v>41412</v>
      </c>
      <c r="K137" s="4">
        <v>41412</v>
      </c>
      <c r="L137" s="5">
        <v>0.41666666666666669</v>
      </c>
      <c r="M137" s="5">
        <v>0.52083333333333337</v>
      </c>
      <c r="N137">
        <v>55.527650000000001</v>
      </c>
      <c r="O137">
        <v>13.900119999999999</v>
      </c>
      <c r="P137">
        <v>430570</v>
      </c>
      <c r="Q137">
        <v>6154060</v>
      </c>
      <c r="R137" t="s">
        <v>490</v>
      </c>
      <c r="S137">
        <v>250</v>
      </c>
      <c r="T137" t="s">
        <v>578</v>
      </c>
      <c r="U137" t="s">
        <v>525</v>
      </c>
      <c r="V137" t="s">
        <v>504</v>
      </c>
      <c r="W137" t="s">
        <v>494</v>
      </c>
      <c r="X137" t="s">
        <v>494</v>
      </c>
      <c r="Y137" t="s">
        <v>749</v>
      </c>
      <c r="Z137">
        <v>1</v>
      </c>
      <c r="AA137">
        <v>1</v>
      </c>
      <c r="AE137" t="s">
        <v>42</v>
      </c>
      <c r="AF137" t="s">
        <v>496</v>
      </c>
      <c r="AG137" t="b">
        <v>0</v>
      </c>
      <c r="AH137" t="b">
        <v>0</v>
      </c>
      <c r="AI137" t="b">
        <v>0</v>
      </c>
      <c r="AK137" t="s">
        <v>497</v>
      </c>
      <c r="AL137" t="b">
        <v>0</v>
      </c>
      <c r="AM137" t="b">
        <v>0</v>
      </c>
    </row>
    <row r="138" spans="1:39">
      <c r="A138" t="s">
        <v>750</v>
      </c>
      <c r="B138" t="b">
        <v>1</v>
      </c>
      <c r="C138">
        <v>102987</v>
      </c>
      <c r="D138" t="s">
        <v>388</v>
      </c>
      <c r="E138" t="s">
        <v>389</v>
      </c>
      <c r="F138" t="s">
        <v>488</v>
      </c>
      <c r="G138" t="s">
        <v>489</v>
      </c>
      <c r="H138" t="s">
        <v>41</v>
      </c>
      <c r="I138">
        <v>1</v>
      </c>
      <c r="J138" s="4">
        <v>41468</v>
      </c>
      <c r="K138" s="4">
        <v>41468</v>
      </c>
      <c r="L138" s="5">
        <v>0.55555555555555558</v>
      </c>
      <c r="M138" s="5">
        <v>0.57986111111111116</v>
      </c>
      <c r="N138">
        <v>55.547759999999997</v>
      </c>
      <c r="O138">
        <v>13.86754</v>
      </c>
      <c r="P138">
        <v>428550</v>
      </c>
      <c r="Q138">
        <v>6156331</v>
      </c>
      <c r="R138" t="s">
        <v>490</v>
      </c>
      <c r="S138">
        <v>627</v>
      </c>
      <c r="T138" t="s">
        <v>541</v>
      </c>
      <c r="U138" t="s">
        <v>525</v>
      </c>
      <c r="V138" t="s">
        <v>504</v>
      </c>
      <c r="W138" t="s">
        <v>494</v>
      </c>
      <c r="X138" t="s">
        <v>494</v>
      </c>
      <c r="Y138" t="s">
        <v>745</v>
      </c>
      <c r="Z138">
        <v>2</v>
      </c>
      <c r="AA138">
        <v>2</v>
      </c>
      <c r="AC138" t="s">
        <v>751</v>
      </c>
      <c r="AE138" t="s">
        <v>43</v>
      </c>
      <c r="AF138" t="s">
        <v>496</v>
      </c>
      <c r="AG138" t="b">
        <v>0</v>
      </c>
      <c r="AH138" t="b">
        <v>0</v>
      </c>
      <c r="AI138" t="b">
        <v>0</v>
      </c>
      <c r="AK138" t="s">
        <v>497</v>
      </c>
      <c r="AL138" t="b">
        <v>0</v>
      </c>
      <c r="AM138" t="b">
        <v>0</v>
      </c>
    </row>
    <row r="139" spans="1:39">
      <c r="A139" t="s">
        <v>752</v>
      </c>
      <c r="B139" t="b">
        <v>1</v>
      </c>
      <c r="C139">
        <v>102626</v>
      </c>
      <c r="D139" t="s">
        <v>318</v>
      </c>
      <c r="E139" t="s">
        <v>319</v>
      </c>
      <c r="F139" t="s">
        <v>488</v>
      </c>
      <c r="G139" t="s">
        <v>489</v>
      </c>
      <c r="H139" t="s">
        <v>46</v>
      </c>
      <c r="I139">
        <v>1</v>
      </c>
      <c r="J139" s="4">
        <v>39943</v>
      </c>
      <c r="K139" s="4">
        <v>39943</v>
      </c>
      <c r="L139" s="5">
        <v>0</v>
      </c>
      <c r="M139" s="5">
        <v>0</v>
      </c>
      <c r="N139">
        <v>55.555309999999999</v>
      </c>
      <c r="O139">
        <v>13.8569</v>
      </c>
      <c r="P139">
        <v>427893</v>
      </c>
      <c r="Q139">
        <v>6157182</v>
      </c>
      <c r="R139" t="s">
        <v>490</v>
      </c>
      <c r="S139">
        <v>140</v>
      </c>
      <c r="T139" t="s">
        <v>491</v>
      </c>
      <c r="U139" t="s">
        <v>492</v>
      </c>
      <c r="V139" t="s">
        <v>493</v>
      </c>
      <c r="W139" t="s">
        <v>494</v>
      </c>
      <c r="X139" t="s">
        <v>494</v>
      </c>
      <c r="Y139" t="s">
        <v>495</v>
      </c>
      <c r="Z139">
        <v>1</v>
      </c>
      <c r="AA139">
        <v>1</v>
      </c>
      <c r="AD139" t="s">
        <v>510</v>
      </c>
      <c r="AE139" t="s">
        <v>538</v>
      </c>
      <c r="AF139" t="s">
        <v>496</v>
      </c>
      <c r="AG139" t="b">
        <v>0</v>
      </c>
      <c r="AH139" t="b">
        <v>0</v>
      </c>
      <c r="AI139" t="b">
        <v>0</v>
      </c>
      <c r="AK139" t="s">
        <v>497</v>
      </c>
      <c r="AL139" t="b">
        <v>0</v>
      </c>
      <c r="AM139" t="b">
        <v>0</v>
      </c>
    </row>
    <row r="140" spans="1:39">
      <c r="A140" t="s">
        <v>753</v>
      </c>
      <c r="B140" t="b">
        <v>1</v>
      </c>
      <c r="C140">
        <v>103020</v>
      </c>
      <c r="D140" t="s">
        <v>328</v>
      </c>
      <c r="E140" t="s">
        <v>329</v>
      </c>
      <c r="F140" t="s">
        <v>488</v>
      </c>
      <c r="G140" t="s">
        <v>489</v>
      </c>
      <c r="H140" t="s">
        <v>41</v>
      </c>
      <c r="I140">
        <v>1</v>
      </c>
      <c r="J140" s="4">
        <v>37377</v>
      </c>
      <c r="K140" s="4">
        <v>37377</v>
      </c>
      <c r="L140" s="5">
        <v>0.48958333333333331</v>
      </c>
      <c r="M140" s="5">
        <v>0.51041666666666663</v>
      </c>
      <c r="N140">
        <v>55.525750000000002</v>
      </c>
      <c r="O140">
        <v>13.88649</v>
      </c>
      <c r="P140">
        <v>429706</v>
      </c>
      <c r="Q140">
        <v>6153862</v>
      </c>
      <c r="R140" t="s">
        <v>490</v>
      </c>
      <c r="S140">
        <v>311</v>
      </c>
      <c r="T140" t="s">
        <v>515</v>
      </c>
      <c r="U140" t="s">
        <v>516</v>
      </c>
      <c r="V140" t="s">
        <v>493</v>
      </c>
      <c r="W140" t="s">
        <v>494</v>
      </c>
      <c r="X140" t="s">
        <v>494</v>
      </c>
      <c r="Y140" t="s">
        <v>584</v>
      </c>
      <c r="Z140">
        <v>2</v>
      </c>
      <c r="AA140">
        <v>2</v>
      </c>
      <c r="AC140" t="s">
        <v>512</v>
      </c>
      <c r="AD140" t="s">
        <v>527</v>
      </c>
      <c r="AE140" t="s">
        <v>51</v>
      </c>
      <c r="AF140" t="s">
        <v>496</v>
      </c>
      <c r="AG140" t="b">
        <v>0</v>
      </c>
      <c r="AH140" t="b">
        <v>0</v>
      </c>
      <c r="AI140" t="b">
        <v>0</v>
      </c>
      <c r="AK140" t="s">
        <v>497</v>
      </c>
      <c r="AL140" t="b">
        <v>0</v>
      </c>
      <c r="AM140" t="b">
        <v>0</v>
      </c>
    </row>
    <row r="141" spans="1:39">
      <c r="A141" t="s">
        <v>754</v>
      </c>
      <c r="B141" t="b">
        <v>1</v>
      </c>
      <c r="C141">
        <v>103036</v>
      </c>
      <c r="D141" t="s">
        <v>324</v>
      </c>
      <c r="E141" t="s">
        <v>325</v>
      </c>
      <c r="F141" t="s">
        <v>488</v>
      </c>
      <c r="G141" t="s">
        <v>489</v>
      </c>
      <c r="H141" t="s">
        <v>46</v>
      </c>
      <c r="I141">
        <v>1</v>
      </c>
      <c r="J141" s="4">
        <v>43887</v>
      </c>
      <c r="K141" s="4">
        <v>43887</v>
      </c>
      <c r="L141" s="5">
        <v>0.52083333333333337</v>
      </c>
      <c r="M141" s="5">
        <v>0.52083333333333337</v>
      </c>
      <c r="N141">
        <v>55.547759999999997</v>
      </c>
      <c r="O141">
        <v>13.86754</v>
      </c>
      <c r="P141">
        <v>428550</v>
      </c>
      <c r="Q141">
        <v>6156331</v>
      </c>
      <c r="R141" t="s">
        <v>490</v>
      </c>
      <c r="S141">
        <v>627</v>
      </c>
      <c r="T141" t="s">
        <v>541</v>
      </c>
      <c r="U141" t="s">
        <v>525</v>
      </c>
      <c r="V141" t="s">
        <v>504</v>
      </c>
      <c r="W141" t="s">
        <v>494</v>
      </c>
      <c r="X141" t="s">
        <v>494</v>
      </c>
      <c r="Y141" t="s">
        <v>536</v>
      </c>
      <c r="Z141">
        <v>3</v>
      </c>
      <c r="AA141">
        <v>3</v>
      </c>
      <c r="AE141" t="s">
        <v>42</v>
      </c>
      <c r="AF141" t="s">
        <v>496</v>
      </c>
      <c r="AG141" t="b">
        <v>0</v>
      </c>
      <c r="AH141" t="b">
        <v>0</v>
      </c>
      <c r="AI141" t="b">
        <v>0</v>
      </c>
      <c r="AK141" t="s">
        <v>497</v>
      </c>
      <c r="AL141" t="b">
        <v>0</v>
      </c>
      <c r="AM141" t="b">
        <v>0</v>
      </c>
    </row>
    <row r="142" spans="1:39">
      <c r="A142" t="s">
        <v>755</v>
      </c>
      <c r="B142" t="b">
        <v>1</v>
      </c>
      <c r="C142">
        <v>103037</v>
      </c>
      <c r="D142" t="s">
        <v>368</v>
      </c>
      <c r="E142" t="s">
        <v>369</v>
      </c>
      <c r="F142" t="s">
        <v>488</v>
      </c>
      <c r="G142" t="s">
        <v>489</v>
      </c>
      <c r="H142" t="s">
        <v>85</v>
      </c>
      <c r="I142">
        <v>1</v>
      </c>
      <c r="J142" s="4">
        <v>43558</v>
      </c>
      <c r="K142" s="4">
        <v>43558</v>
      </c>
      <c r="L142" s="5">
        <v>0.38541666666666669</v>
      </c>
      <c r="M142" s="5">
        <v>0.42708333333333331</v>
      </c>
      <c r="N142">
        <v>55.5351</v>
      </c>
      <c r="O142">
        <v>13.95862</v>
      </c>
      <c r="P142">
        <v>434276</v>
      </c>
      <c r="Q142">
        <v>6154832</v>
      </c>
      <c r="R142" t="s">
        <v>490</v>
      </c>
      <c r="S142">
        <v>400</v>
      </c>
      <c r="T142" t="s">
        <v>563</v>
      </c>
      <c r="U142" t="s">
        <v>508</v>
      </c>
      <c r="V142" t="s">
        <v>504</v>
      </c>
      <c r="W142" t="s">
        <v>494</v>
      </c>
      <c r="X142" t="s">
        <v>494</v>
      </c>
      <c r="Y142" t="s">
        <v>536</v>
      </c>
      <c r="Z142">
        <v>6</v>
      </c>
      <c r="AA142">
        <v>6</v>
      </c>
      <c r="AE142" t="s">
        <v>538</v>
      </c>
      <c r="AF142" t="s">
        <v>496</v>
      </c>
      <c r="AG142" t="b">
        <v>0</v>
      </c>
      <c r="AH142" t="b">
        <v>0</v>
      </c>
      <c r="AI142" t="b">
        <v>0</v>
      </c>
      <c r="AK142" t="s">
        <v>497</v>
      </c>
      <c r="AL142" t="b">
        <v>0</v>
      </c>
      <c r="AM142" t="b">
        <v>0</v>
      </c>
    </row>
    <row r="143" spans="1:39">
      <c r="A143" t="s">
        <v>756</v>
      </c>
      <c r="B143" t="b">
        <v>1</v>
      </c>
      <c r="C143">
        <v>102977</v>
      </c>
      <c r="D143" t="s">
        <v>47</v>
      </c>
      <c r="E143" t="s">
        <v>48</v>
      </c>
      <c r="F143" t="s">
        <v>488</v>
      </c>
      <c r="G143" t="s">
        <v>489</v>
      </c>
      <c r="H143" t="s">
        <v>46</v>
      </c>
      <c r="I143">
        <v>1</v>
      </c>
      <c r="J143" s="4">
        <v>43512</v>
      </c>
      <c r="K143" s="4">
        <v>43512</v>
      </c>
      <c r="L143" s="5">
        <v>0.54166666666666663</v>
      </c>
      <c r="M143" s="5">
        <v>0.54166666666666663</v>
      </c>
      <c r="N143">
        <v>55.525750000000002</v>
      </c>
      <c r="O143">
        <v>13.88649</v>
      </c>
      <c r="P143">
        <v>429706</v>
      </c>
      <c r="Q143">
        <v>6153862</v>
      </c>
      <c r="R143" t="s">
        <v>490</v>
      </c>
      <c r="S143">
        <v>311</v>
      </c>
      <c r="T143" t="s">
        <v>515</v>
      </c>
      <c r="U143" t="s">
        <v>516</v>
      </c>
      <c r="V143" t="s">
        <v>493</v>
      </c>
      <c r="W143" t="s">
        <v>494</v>
      </c>
      <c r="X143" t="s">
        <v>494</v>
      </c>
      <c r="Y143" t="s">
        <v>757</v>
      </c>
      <c r="Z143">
        <v>1</v>
      </c>
      <c r="AA143">
        <v>1</v>
      </c>
      <c r="AE143" t="s">
        <v>42</v>
      </c>
      <c r="AF143" t="s">
        <v>496</v>
      </c>
      <c r="AG143" t="b">
        <v>0</v>
      </c>
      <c r="AH143" t="b">
        <v>0</v>
      </c>
      <c r="AI143" t="b">
        <v>0</v>
      </c>
      <c r="AK143" t="s">
        <v>497</v>
      </c>
      <c r="AL143" t="b">
        <v>0</v>
      </c>
      <c r="AM143" t="b">
        <v>0</v>
      </c>
    </row>
    <row r="144" spans="1:39">
      <c r="A144" t="s">
        <v>758</v>
      </c>
      <c r="B144" t="b">
        <v>1</v>
      </c>
      <c r="C144">
        <v>103055</v>
      </c>
      <c r="D144" t="s">
        <v>413</v>
      </c>
      <c r="E144" t="s">
        <v>414</v>
      </c>
      <c r="F144" t="s">
        <v>488</v>
      </c>
      <c r="G144" t="s">
        <v>489</v>
      </c>
      <c r="H144" t="s">
        <v>41</v>
      </c>
      <c r="I144">
        <v>1</v>
      </c>
      <c r="J144" s="4">
        <v>43888</v>
      </c>
      <c r="K144" s="4">
        <v>43888</v>
      </c>
      <c r="L144" s="5">
        <v>0.3527777777777778</v>
      </c>
      <c r="M144" s="5">
        <v>0.39583333333333331</v>
      </c>
      <c r="N144">
        <v>55.551000000000002</v>
      </c>
      <c r="O144">
        <v>13.865489999999999</v>
      </c>
      <c r="P144">
        <v>428426</v>
      </c>
      <c r="Q144">
        <v>6156693</v>
      </c>
      <c r="R144" t="s">
        <v>490</v>
      </c>
      <c r="S144">
        <v>400</v>
      </c>
      <c r="T144" t="s">
        <v>703</v>
      </c>
      <c r="U144" t="s">
        <v>525</v>
      </c>
      <c r="V144" t="s">
        <v>504</v>
      </c>
      <c r="W144" t="s">
        <v>494</v>
      </c>
      <c r="X144" t="s">
        <v>494</v>
      </c>
      <c r="Y144" t="s">
        <v>704</v>
      </c>
      <c r="Z144">
        <v>2</v>
      </c>
      <c r="AA144">
        <v>2</v>
      </c>
      <c r="AE144" t="s">
        <v>42</v>
      </c>
      <c r="AF144" t="s">
        <v>496</v>
      </c>
      <c r="AG144" t="b">
        <v>0</v>
      </c>
      <c r="AH144" t="b">
        <v>0</v>
      </c>
      <c r="AI144" t="b">
        <v>0</v>
      </c>
      <c r="AK144" t="s">
        <v>497</v>
      </c>
      <c r="AL144" t="b">
        <v>0</v>
      </c>
      <c r="AM144" t="b">
        <v>0</v>
      </c>
    </row>
    <row r="145" spans="1:39">
      <c r="A145" t="s">
        <v>759</v>
      </c>
      <c r="B145" t="b">
        <v>1</v>
      </c>
      <c r="C145">
        <v>102993</v>
      </c>
      <c r="D145" t="s">
        <v>384</v>
      </c>
      <c r="E145" t="s">
        <v>385</v>
      </c>
      <c r="F145" t="s">
        <v>488</v>
      </c>
      <c r="G145" t="s">
        <v>489</v>
      </c>
      <c r="H145" t="s">
        <v>85</v>
      </c>
      <c r="I145">
        <v>1</v>
      </c>
      <c r="J145" s="4">
        <v>45477</v>
      </c>
      <c r="K145" s="4">
        <v>45477</v>
      </c>
      <c r="L145" s="5">
        <v>0.44791666666666669</v>
      </c>
      <c r="M145" s="5">
        <v>0.44791666666666669</v>
      </c>
      <c r="N145">
        <v>55.54081</v>
      </c>
      <c r="O145">
        <v>13.95609</v>
      </c>
      <c r="P145">
        <v>434125</v>
      </c>
      <c r="Q145">
        <v>6155470</v>
      </c>
      <c r="R145" t="s">
        <v>490</v>
      </c>
      <c r="S145">
        <v>1500</v>
      </c>
      <c r="T145" t="s">
        <v>507</v>
      </c>
      <c r="U145" t="s">
        <v>508</v>
      </c>
      <c r="V145" t="s">
        <v>504</v>
      </c>
      <c r="W145" t="s">
        <v>494</v>
      </c>
      <c r="X145" t="s">
        <v>494</v>
      </c>
      <c r="Y145" t="s">
        <v>760</v>
      </c>
      <c r="Z145">
        <v>1</v>
      </c>
      <c r="AA145">
        <v>1</v>
      </c>
      <c r="AE145" t="s">
        <v>431</v>
      </c>
      <c r="AF145" t="s">
        <v>496</v>
      </c>
      <c r="AG145" t="b">
        <v>0</v>
      </c>
      <c r="AH145" t="b">
        <v>0</v>
      </c>
      <c r="AI145" t="b">
        <v>0</v>
      </c>
      <c r="AK145" t="s">
        <v>497</v>
      </c>
      <c r="AL145" t="b">
        <v>0</v>
      </c>
      <c r="AM145" t="b">
        <v>0</v>
      </c>
    </row>
    <row r="146" spans="1:39">
      <c r="A146" t="s">
        <v>761</v>
      </c>
      <c r="B146" t="b">
        <v>1</v>
      </c>
      <c r="C146">
        <v>102930</v>
      </c>
      <c r="D146" t="s">
        <v>86</v>
      </c>
      <c r="E146" t="s">
        <v>87</v>
      </c>
      <c r="F146" t="s">
        <v>488</v>
      </c>
      <c r="G146" t="s">
        <v>489</v>
      </c>
      <c r="H146" t="s">
        <v>41</v>
      </c>
      <c r="I146">
        <v>1</v>
      </c>
      <c r="J146" s="4">
        <v>45052</v>
      </c>
      <c r="K146" s="4">
        <v>45052</v>
      </c>
      <c r="N146">
        <v>55.562260000000002</v>
      </c>
      <c r="O146">
        <v>13.922969999999999</v>
      </c>
      <c r="P146">
        <v>432072</v>
      </c>
      <c r="Q146">
        <v>6157889</v>
      </c>
      <c r="R146" t="s">
        <v>490</v>
      </c>
      <c r="S146">
        <v>400</v>
      </c>
      <c r="T146" t="s">
        <v>762</v>
      </c>
      <c r="U146" t="s">
        <v>508</v>
      </c>
      <c r="V146" t="s">
        <v>504</v>
      </c>
      <c r="W146" t="s">
        <v>494</v>
      </c>
      <c r="X146" t="s">
        <v>494</v>
      </c>
      <c r="Y146" t="s">
        <v>550</v>
      </c>
      <c r="Z146">
        <v>2</v>
      </c>
      <c r="AA146">
        <v>2</v>
      </c>
      <c r="AE146" t="s">
        <v>538</v>
      </c>
      <c r="AF146" t="s">
        <v>496</v>
      </c>
      <c r="AG146" t="b">
        <v>0</v>
      </c>
      <c r="AH146" t="b">
        <v>0</v>
      </c>
      <c r="AI146" t="b">
        <v>0</v>
      </c>
      <c r="AK146" t="s">
        <v>497</v>
      </c>
      <c r="AL146" t="b">
        <v>0</v>
      </c>
      <c r="AM146" t="b">
        <v>0</v>
      </c>
    </row>
    <row r="147" spans="1:39">
      <c r="A147" t="s">
        <v>763</v>
      </c>
      <c r="B147" t="b">
        <v>1</v>
      </c>
      <c r="C147">
        <v>103042</v>
      </c>
      <c r="D147" t="s">
        <v>398</v>
      </c>
      <c r="E147" t="s">
        <v>399</v>
      </c>
      <c r="F147" t="s">
        <v>488</v>
      </c>
      <c r="G147" t="s">
        <v>489</v>
      </c>
      <c r="H147" t="s">
        <v>85</v>
      </c>
      <c r="I147">
        <v>1</v>
      </c>
      <c r="J147" s="4">
        <v>45763</v>
      </c>
      <c r="K147" s="4">
        <v>45763</v>
      </c>
      <c r="L147" s="5">
        <v>0.375</v>
      </c>
      <c r="M147" s="5">
        <v>0.54166666666666663</v>
      </c>
      <c r="N147">
        <v>55.54081</v>
      </c>
      <c r="O147">
        <v>13.95609</v>
      </c>
      <c r="P147">
        <v>434125</v>
      </c>
      <c r="Q147">
        <v>6155470</v>
      </c>
      <c r="R147" t="s">
        <v>490</v>
      </c>
      <c r="S147">
        <v>1500</v>
      </c>
      <c r="T147" t="s">
        <v>507</v>
      </c>
      <c r="U147" t="s">
        <v>508</v>
      </c>
      <c r="V147" t="s">
        <v>504</v>
      </c>
      <c r="W147" t="s">
        <v>494</v>
      </c>
      <c r="X147" t="s">
        <v>494</v>
      </c>
      <c r="Y147" t="s">
        <v>526</v>
      </c>
      <c r="Z147">
        <v>1</v>
      </c>
      <c r="AA147">
        <v>1</v>
      </c>
      <c r="AE147" t="s">
        <v>42</v>
      </c>
      <c r="AF147" t="s">
        <v>496</v>
      </c>
      <c r="AG147" t="b">
        <v>0</v>
      </c>
      <c r="AH147" t="b">
        <v>0</v>
      </c>
      <c r="AI147" t="b">
        <v>0</v>
      </c>
      <c r="AK147" t="s">
        <v>497</v>
      </c>
      <c r="AL147" t="b">
        <v>0</v>
      </c>
      <c r="AM147" t="b">
        <v>0</v>
      </c>
    </row>
    <row r="148" spans="1:39">
      <c r="A148" t="s">
        <v>764</v>
      </c>
      <c r="B148" t="b">
        <v>1</v>
      </c>
      <c r="C148">
        <v>102993</v>
      </c>
      <c r="D148" t="s">
        <v>384</v>
      </c>
      <c r="E148" t="s">
        <v>385</v>
      </c>
      <c r="F148" t="s">
        <v>488</v>
      </c>
      <c r="G148" t="s">
        <v>489</v>
      </c>
      <c r="H148" t="s">
        <v>85</v>
      </c>
      <c r="I148">
        <v>1</v>
      </c>
      <c r="J148" s="4">
        <v>43956</v>
      </c>
      <c r="K148" s="4">
        <v>43956</v>
      </c>
      <c r="L148" s="5">
        <v>0.58333333333333337</v>
      </c>
      <c r="M148" s="5">
        <v>0.58333333333333337</v>
      </c>
      <c r="N148">
        <v>55.551600000000001</v>
      </c>
      <c r="O148">
        <v>13.955550000000001</v>
      </c>
      <c r="P148">
        <v>434109</v>
      </c>
      <c r="Q148">
        <v>6156670</v>
      </c>
      <c r="R148" t="s">
        <v>490</v>
      </c>
      <c r="S148">
        <v>250</v>
      </c>
      <c r="T148" t="s">
        <v>765</v>
      </c>
      <c r="U148" t="s">
        <v>508</v>
      </c>
      <c r="V148" t="s">
        <v>504</v>
      </c>
      <c r="W148" t="s">
        <v>494</v>
      </c>
      <c r="X148" t="s">
        <v>494</v>
      </c>
      <c r="Y148" t="s">
        <v>536</v>
      </c>
      <c r="Z148">
        <v>1</v>
      </c>
      <c r="AA148">
        <v>1</v>
      </c>
      <c r="AD148" t="s">
        <v>510</v>
      </c>
      <c r="AE148" t="s">
        <v>42</v>
      </c>
      <c r="AF148" t="s">
        <v>496</v>
      </c>
      <c r="AG148" t="b">
        <v>0</v>
      </c>
      <c r="AH148" t="b">
        <v>0</v>
      </c>
      <c r="AI148" t="b">
        <v>0</v>
      </c>
      <c r="AK148" t="s">
        <v>497</v>
      </c>
      <c r="AL148" t="b">
        <v>0</v>
      </c>
      <c r="AM148" t="b">
        <v>0</v>
      </c>
    </row>
    <row r="149" spans="1:39">
      <c r="A149" t="s">
        <v>766</v>
      </c>
      <c r="B149" t="b">
        <v>1</v>
      </c>
      <c r="C149">
        <v>103055</v>
      </c>
      <c r="D149" t="s">
        <v>413</v>
      </c>
      <c r="E149" t="s">
        <v>414</v>
      </c>
      <c r="F149" t="s">
        <v>488</v>
      </c>
      <c r="G149" t="s">
        <v>489</v>
      </c>
      <c r="H149" t="s">
        <v>41</v>
      </c>
      <c r="I149">
        <v>1</v>
      </c>
      <c r="J149" s="4">
        <v>43963</v>
      </c>
      <c r="K149" s="4">
        <v>43963</v>
      </c>
      <c r="N149">
        <v>55.515189999999997</v>
      </c>
      <c r="O149">
        <v>13.899330000000001</v>
      </c>
      <c r="P149">
        <v>430498</v>
      </c>
      <c r="Q149">
        <v>6152673</v>
      </c>
      <c r="R149" t="s">
        <v>490</v>
      </c>
      <c r="S149">
        <v>125</v>
      </c>
      <c r="T149" t="s">
        <v>552</v>
      </c>
      <c r="U149" t="s">
        <v>525</v>
      </c>
      <c r="V149" t="s">
        <v>504</v>
      </c>
      <c r="W149" t="s">
        <v>494</v>
      </c>
      <c r="X149" t="s">
        <v>494</v>
      </c>
      <c r="Y149" t="s">
        <v>536</v>
      </c>
      <c r="Z149">
        <v>2</v>
      </c>
      <c r="AA149">
        <v>2</v>
      </c>
      <c r="AE149" t="s">
        <v>42</v>
      </c>
      <c r="AF149" t="s">
        <v>496</v>
      </c>
      <c r="AG149" t="b">
        <v>0</v>
      </c>
      <c r="AH149" t="b">
        <v>0</v>
      </c>
      <c r="AI149" t="b">
        <v>0</v>
      </c>
      <c r="AK149" t="s">
        <v>497</v>
      </c>
      <c r="AL149" t="b">
        <v>0</v>
      </c>
      <c r="AM149" t="b">
        <v>0</v>
      </c>
    </row>
    <row r="150" spans="1:39">
      <c r="A150" t="s">
        <v>767</v>
      </c>
      <c r="B150" t="b">
        <v>1</v>
      </c>
      <c r="C150">
        <v>103042</v>
      </c>
      <c r="D150" t="s">
        <v>398</v>
      </c>
      <c r="E150" t="s">
        <v>399</v>
      </c>
      <c r="F150" t="s">
        <v>488</v>
      </c>
      <c r="G150" t="s">
        <v>489</v>
      </c>
      <c r="H150" t="s">
        <v>85</v>
      </c>
      <c r="I150">
        <v>1</v>
      </c>
      <c r="J150" s="4">
        <v>44359</v>
      </c>
      <c r="K150" s="4">
        <v>44359</v>
      </c>
      <c r="L150" s="5">
        <v>0.40277777777777779</v>
      </c>
      <c r="M150" s="5">
        <v>0.40277777777777779</v>
      </c>
      <c r="N150">
        <v>55.525750000000002</v>
      </c>
      <c r="O150">
        <v>13.88649</v>
      </c>
      <c r="P150">
        <v>429706</v>
      </c>
      <c r="Q150">
        <v>6153862</v>
      </c>
      <c r="R150" t="s">
        <v>490</v>
      </c>
      <c r="S150">
        <v>311</v>
      </c>
      <c r="T150" t="s">
        <v>515</v>
      </c>
      <c r="U150" t="s">
        <v>516</v>
      </c>
      <c r="V150" t="s">
        <v>493</v>
      </c>
      <c r="W150" t="s">
        <v>494</v>
      </c>
      <c r="X150" t="s">
        <v>494</v>
      </c>
      <c r="Y150" t="s">
        <v>757</v>
      </c>
      <c r="Z150">
        <v>1</v>
      </c>
      <c r="AA150">
        <v>1</v>
      </c>
      <c r="AE150" t="s">
        <v>42</v>
      </c>
      <c r="AF150" t="s">
        <v>496</v>
      </c>
      <c r="AG150" t="b">
        <v>0</v>
      </c>
      <c r="AH150" t="b">
        <v>0</v>
      </c>
      <c r="AI150" t="b">
        <v>0</v>
      </c>
      <c r="AK150" t="s">
        <v>497</v>
      </c>
      <c r="AL150" t="b">
        <v>0</v>
      </c>
      <c r="AM150" t="b">
        <v>0</v>
      </c>
    </row>
    <row r="151" spans="1:39">
      <c r="A151" t="s">
        <v>768</v>
      </c>
      <c r="B151" t="b">
        <v>1</v>
      </c>
      <c r="C151">
        <v>102993</v>
      </c>
      <c r="D151" t="s">
        <v>384</v>
      </c>
      <c r="E151" t="s">
        <v>385</v>
      </c>
      <c r="F151" t="s">
        <v>488</v>
      </c>
      <c r="G151" t="s">
        <v>489</v>
      </c>
      <c r="H151" t="s">
        <v>85</v>
      </c>
      <c r="I151">
        <v>1</v>
      </c>
      <c r="J151" s="4">
        <v>44353</v>
      </c>
      <c r="K151" s="4">
        <v>44353</v>
      </c>
      <c r="N151">
        <v>55.551600000000001</v>
      </c>
      <c r="O151">
        <v>13.955550000000001</v>
      </c>
      <c r="P151">
        <v>434109</v>
      </c>
      <c r="Q151">
        <v>6156670</v>
      </c>
      <c r="R151" t="s">
        <v>490</v>
      </c>
      <c r="S151">
        <v>250</v>
      </c>
      <c r="T151" t="s">
        <v>765</v>
      </c>
      <c r="U151" t="s">
        <v>508</v>
      </c>
      <c r="V151" t="s">
        <v>504</v>
      </c>
      <c r="W151" t="s">
        <v>494</v>
      </c>
      <c r="X151" t="s">
        <v>494</v>
      </c>
      <c r="Y151" t="s">
        <v>536</v>
      </c>
      <c r="Z151">
        <v>1</v>
      </c>
      <c r="AA151">
        <v>1</v>
      </c>
      <c r="AD151" t="s">
        <v>510</v>
      </c>
      <c r="AE151" t="s">
        <v>42</v>
      </c>
      <c r="AF151" t="s">
        <v>496</v>
      </c>
      <c r="AG151" t="b">
        <v>0</v>
      </c>
      <c r="AH151" t="b">
        <v>0</v>
      </c>
      <c r="AI151" t="b">
        <v>0</v>
      </c>
      <c r="AK151" t="s">
        <v>497</v>
      </c>
      <c r="AL151" t="b">
        <v>0</v>
      </c>
      <c r="AM151" t="b">
        <v>0</v>
      </c>
    </row>
    <row r="152" spans="1:39">
      <c r="A152" t="s">
        <v>769</v>
      </c>
      <c r="B152" t="b">
        <v>1</v>
      </c>
      <c r="C152">
        <v>102987</v>
      </c>
      <c r="D152" t="s">
        <v>388</v>
      </c>
      <c r="E152" t="s">
        <v>389</v>
      </c>
      <c r="F152" t="s">
        <v>488</v>
      </c>
      <c r="G152" t="s">
        <v>489</v>
      </c>
      <c r="H152" t="s">
        <v>41</v>
      </c>
      <c r="I152">
        <v>1</v>
      </c>
      <c r="J152" s="4">
        <v>44015</v>
      </c>
      <c r="K152" s="4">
        <v>44015</v>
      </c>
      <c r="L152" s="5">
        <v>0.29166666666666669</v>
      </c>
      <c r="M152" s="5">
        <v>0.29166666666666669</v>
      </c>
      <c r="N152">
        <v>55.54081</v>
      </c>
      <c r="O152">
        <v>13.95609</v>
      </c>
      <c r="P152">
        <v>434125</v>
      </c>
      <c r="Q152">
        <v>6155470</v>
      </c>
      <c r="R152" t="s">
        <v>490</v>
      </c>
      <c r="S152">
        <v>1500</v>
      </c>
      <c r="T152" t="s">
        <v>507</v>
      </c>
      <c r="U152" t="s">
        <v>508</v>
      </c>
      <c r="V152" t="s">
        <v>504</v>
      </c>
      <c r="W152" t="s">
        <v>494</v>
      </c>
      <c r="X152" t="s">
        <v>494</v>
      </c>
      <c r="Y152" t="s">
        <v>770</v>
      </c>
      <c r="Z152">
        <v>1</v>
      </c>
      <c r="AA152">
        <v>1</v>
      </c>
      <c r="AE152" t="s">
        <v>538</v>
      </c>
      <c r="AF152" t="s">
        <v>496</v>
      </c>
      <c r="AG152" t="b">
        <v>0</v>
      </c>
      <c r="AH152" t="b">
        <v>0</v>
      </c>
      <c r="AI152" t="b">
        <v>0</v>
      </c>
      <c r="AK152" t="s">
        <v>497</v>
      </c>
      <c r="AL152" t="b">
        <v>0</v>
      </c>
      <c r="AM152" t="b">
        <v>0</v>
      </c>
    </row>
    <row r="153" spans="1:39">
      <c r="A153" t="s">
        <v>771</v>
      </c>
      <c r="B153" t="b">
        <v>1</v>
      </c>
      <c r="C153">
        <v>103042</v>
      </c>
      <c r="D153" t="s">
        <v>398</v>
      </c>
      <c r="E153" t="s">
        <v>399</v>
      </c>
      <c r="F153" t="s">
        <v>488</v>
      </c>
      <c r="G153" t="s">
        <v>489</v>
      </c>
      <c r="H153" t="s">
        <v>85</v>
      </c>
      <c r="I153">
        <v>1</v>
      </c>
      <c r="J153" s="4">
        <v>43993</v>
      </c>
      <c r="K153" s="4">
        <v>43993</v>
      </c>
      <c r="N153">
        <v>55.54081</v>
      </c>
      <c r="O153">
        <v>13.95609</v>
      </c>
      <c r="P153">
        <v>434125</v>
      </c>
      <c r="Q153">
        <v>6155470</v>
      </c>
      <c r="R153" t="s">
        <v>490</v>
      </c>
      <c r="S153">
        <v>1500</v>
      </c>
      <c r="T153" t="s">
        <v>507</v>
      </c>
      <c r="U153" t="s">
        <v>508</v>
      </c>
      <c r="V153" t="s">
        <v>504</v>
      </c>
      <c r="W153" t="s">
        <v>494</v>
      </c>
      <c r="X153" t="s">
        <v>494</v>
      </c>
      <c r="Y153" t="s">
        <v>772</v>
      </c>
      <c r="Z153">
        <v>1</v>
      </c>
      <c r="AA153">
        <v>1</v>
      </c>
      <c r="AE153" t="s">
        <v>42</v>
      </c>
      <c r="AF153" t="s">
        <v>496</v>
      </c>
      <c r="AG153" t="b">
        <v>0</v>
      </c>
      <c r="AH153" t="b">
        <v>0</v>
      </c>
      <c r="AI153" t="b">
        <v>0</v>
      </c>
      <c r="AK153" t="s">
        <v>497</v>
      </c>
      <c r="AL153" t="b">
        <v>0</v>
      </c>
      <c r="AM153" t="b">
        <v>0</v>
      </c>
    </row>
    <row r="154" spans="1:39">
      <c r="A154" t="s">
        <v>773</v>
      </c>
      <c r="B154" t="b">
        <v>1</v>
      </c>
      <c r="C154">
        <v>102987</v>
      </c>
      <c r="D154" t="s">
        <v>388</v>
      </c>
      <c r="E154" t="s">
        <v>389</v>
      </c>
      <c r="F154" t="s">
        <v>488</v>
      </c>
      <c r="G154" t="s">
        <v>489</v>
      </c>
      <c r="H154" t="s">
        <v>41</v>
      </c>
      <c r="I154">
        <v>1</v>
      </c>
      <c r="J154" s="4">
        <v>44693</v>
      </c>
      <c r="K154" s="4">
        <v>44693</v>
      </c>
      <c r="L154" s="5">
        <v>0.29166666666666669</v>
      </c>
      <c r="M154" s="5">
        <v>0.41666666666666669</v>
      </c>
      <c r="N154">
        <v>55.5351</v>
      </c>
      <c r="O154">
        <v>13.95862</v>
      </c>
      <c r="P154">
        <v>434276</v>
      </c>
      <c r="Q154">
        <v>6154832</v>
      </c>
      <c r="R154" t="s">
        <v>490</v>
      </c>
      <c r="S154">
        <v>400</v>
      </c>
      <c r="T154" t="s">
        <v>563</v>
      </c>
      <c r="U154" t="s">
        <v>508</v>
      </c>
      <c r="V154" t="s">
        <v>504</v>
      </c>
      <c r="W154" t="s">
        <v>494</v>
      </c>
      <c r="X154" t="s">
        <v>494</v>
      </c>
      <c r="Y154" t="s">
        <v>536</v>
      </c>
      <c r="Z154">
        <v>1</v>
      </c>
      <c r="AA154">
        <v>1</v>
      </c>
      <c r="AE154" t="s">
        <v>42</v>
      </c>
      <c r="AF154" t="s">
        <v>496</v>
      </c>
      <c r="AG154" t="b">
        <v>0</v>
      </c>
      <c r="AH154" t="b">
        <v>0</v>
      </c>
      <c r="AI154" t="b">
        <v>0</v>
      </c>
      <c r="AK154" t="s">
        <v>497</v>
      </c>
      <c r="AL154" t="b">
        <v>0</v>
      </c>
      <c r="AM154" t="b">
        <v>0</v>
      </c>
    </row>
    <row r="155" spans="1:39">
      <c r="A155" t="s">
        <v>774</v>
      </c>
      <c r="B155" t="b">
        <v>1</v>
      </c>
      <c r="C155">
        <v>102972</v>
      </c>
      <c r="D155" t="s">
        <v>55</v>
      </c>
      <c r="E155" t="s">
        <v>56</v>
      </c>
      <c r="F155" t="s">
        <v>488</v>
      </c>
      <c r="G155" t="s">
        <v>489</v>
      </c>
      <c r="H155" t="s">
        <v>41</v>
      </c>
      <c r="I155">
        <v>1</v>
      </c>
      <c r="J155" s="4">
        <v>44740</v>
      </c>
      <c r="K155" s="4">
        <v>44740</v>
      </c>
      <c r="N155">
        <v>55.54081</v>
      </c>
      <c r="O155">
        <v>13.95609</v>
      </c>
      <c r="P155">
        <v>434125</v>
      </c>
      <c r="Q155">
        <v>6155470</v>
      </c>
      <c r="R155" t="s">
        <v>490</v>
      </c>
      <c r="S155">
        <v>1500</v>
      </c>
      <c r="T155" t="s">
        <v>507</v>
      </c>
      <c r="U155" t="s">
        <v>508</v>
      </c>
      <c r="V155" t="s">
        <v>504</v>
      </c>
      <c r="W155" t="s">
        <v>494</v>
      </c>
      <c r="X155" t="s">
        <v>494</v>
      </c>
      <c r="Y155" t="s">
        <v>775</v>
      </c>
      <c r="Z155">
        <v>1</v>
      </c>
      <c r="AA155">
        <v>1</v>
      </c>
      <c r="AE155" t="s">
        <v>42</v>
      </c>
      <c r="AF155" t="s">
        <v>496</v>
      </c>
      <c r="AG155" t="b">
        <v>0</v>
      </c>
      <c r="AH155" t="b">
        <v>0</v>
      </c>
      <c r="AI155" t="b">
        <v>0</v>
      </c>
      <c r="AK155" t="s">
        <v>497</v>
      </c>
      <c r="AL155" t="b">
        <v>0</v>
      </c>
      <c r="AM155" t="b">
        <v>0</v>
      </c>
    </row>
    <row r="156" spans="1:39">
      <c r="A156" t="s">
        <v>776</v>
      </c>
      <c r="B156" t="b">
        <v>1</v>
      </c>
      <c r="C156">
        <v>103055</v>
      </c>
      <c r="D156" t="s">
        <v>413</v>
      </c>
      <c r="E156" t="s">
        <v>414</v>
      </c>
      <c r="F156" t="s">
        <v>488</v>
      </c>
      <c r="G156" t="s">
        <v>489</v>
      </c>
      <c r="H156" t="s">
        <v>41</v>
      </c>
      <c r="I156">
        <v>1</v>
      </c>
      <c r="J156" s="4">
        <v>44376</v>
      </c>
      <c r="K156" s="4">
        <v>44376</v>
      </c>
      <c r="L156" s="5">
        <v>0.70833333333333337</v>
      </c>
      <c r="M156" s="5">
        <v>0.75</v>
      </c>
      <c r="N156">
        <v>55.515189999999997</v>
      </c>
      <c r="O156">
        <v>13.899330000000001</v>
      </c>
      <c r="P156">
        <v>430498</v>
      </c>
      <c r="Q156">
        <v>6152673</v>
      </c>
      <c r="R156" t="s">
        <v>490</v>
      </c>
      <c r="S156">
        <v>125</v>
      </c>
      <c r="T156" t="s">
        <v>552</v>
      </c>
      <c r="U156" t="s">
        <v>525</v>
      </c>
      <c r="V156" t="s">
        <v>504</v>
      </c>
      <c r="W156" t="s">
        <v>494</v>
      </c>
      <c r="X156" t="s">
        <v>494</v>
      </c>
      <c r="Y156" t="s">
        <v>536</v>
      </c>
      <c r="Z156">
        <v>1</v>
      </c>
      <c r="AA156">
        <v>1</v>
      </c>
      <c r="AE156" t="s">
        <v>42</v>
      </c>
      <c r="AF156" t="s">
        <v>496</v>
      </c>
      <c r="AG156" t="b">
        <v>0</v>
      </c>
      <c r="AH156" t="b">
        <v>0</v>
      </c>
      <c r="AI156" t="b">
        <v>0</v>
      </c>
      <c r="AK156" t="s">
        <v>497</v>
      </c>
      <c r="AL156" t="b">
        <v>0</v>
      </c>
      <c r="AM156" t="b">
        <v>0</v>
      </c>
    </row>
    <row r="157" spans="1:39">
      <c r="A157" t="s">
        <v>777</v>
      </c>
      <c r="B157" t="b">
        <v>1</v>
      </c>
      <c r="C157">
        <v>102930</v>
      </c>
      <c r="D157" t="s">
        <v>86</v>
      </c>
      <c r="E157" t="s">
        <v>87</v>
      </c>
      <c r="F157" t="s">
        <v>488</v>
      </c>
      <c r="G157" t="s">
        <v>489</v>
      </c>
      <c r="H157" t="s">
        <v>41</v>
      </c>
      <c r="I157">
        <v>1</v>
      </c>
      <c r="J157" s="4">
        <v>44668</v>
      </c>
      <c r="K157" s="4">
        <v>44668</v>
      </c>
      <c r="L157" s="5">
        <v>0.5625</v>
      </c>
      <c r="M157" s="5">
        <v>0.59375</v>
      </c>
      <c r="N157">
        <v>55.515189999999997</v>
      </c>
      <c r="O157">
        <v>13.899330000000001</v>
      </c>
      <c r="P157">
        <v>430498</v>
      </c>
      <c r="Q157">
        <v>6152673</v>
      </c>
      <c r="R157" t="s">
        <v>490</v>
      </c>
      <c r="S157">
        <v>125</v>
      </c>
      <c r="T157" t="s">
        <v>552</v>
      </c>
      <c r="U157" t="s">
        <v>525</v>
      </c>
      <c r="V157" t="s">
        <v>504</v>
      </c>
      <c r="W157" t="s">
        <v>494</v>
      </c>
      <c r="X157" t="s">
        <v>494</v>
      </c>
      <c r="Y157" t="s">
        <v>536</v>
      </c>
      <c r="Z157">
        <v>2</v>
      </c>
      <c r="AA157">
        <v>2</v>
      </c>
      <c r="AD157" t="s">
        <v>527</v>
      </c>
      <c r="AE157" t="s">
        <v>538</v>
      </c>
      <c r="AF157" t="s">
        <v>496</v>
      </c>
      <c r="AG157" t="b">
        <v>0</v>
      </c>
      <c r="AH157" t="b">
        <v>0</v>
      </c>
      <c r="AI157" t="b">
        <v>0</v>
      </c>
      <c r="AK157" t="s">
        <v>497</v>
      </c>
      <c r="AL157" t="b">
        <v>0</v>
      </c>
      <c r="AM157" t="b">
        <v>0</v>
      </c>
    </row>
    <row r="158" spans="1:39">
      <c r="A158" t="s">
        <v>778</v>
      </c>
      <c r="B158" t="b">
        <v>1</v>
      </c>
      <c r="C158">
        <v>102977</v>
      </c>
      <c r="D158" t="s">
        <v>47</v>
      </c>
      <c r="E158" t="s">
        <v>48</v>
      </c>
      <c r="F158" t="s">
        <v>488</v>
      </c>
      <c r="G158" t="s">
        <v>489</v>
      </c>
      <c r="H158" t="s">
        <v>46</v>
      </c>
      <c r="I158">
        <v>1</v>
      </c>
      <c r="J158" s="4">
        <v>44620</v>
      </c>
      <c r="K158" s="4">
        <v>44620</v>
      </c>
      <c r="L158" s="5">
        <v>0.32777777777777778</v>
      </c>
      <c r="M158" s="5">
        <v>0.38541666666666669</v>
      </c>
      <c r="N158">
        <v>55.547759999999997</v>
      </c>
      <c r="O158">
        <v>13.86754</v>
      </c>
      <c r="P158">
        <v>428550</v>
      </c>
      <c r="Q158">
        <v>6156331</v>
      </c>
      <c r="R158" t="s">
        <v>490</v>
      </c>
      <c r="S158">
        <v>627</v>
      </c>
      <c r="T158" t="s">
        <v>541</v>
      </c>
      <c r="U158" t="s">
        <v>525</v>
      </c>
      <c r="V158" t="s">
        <v>504</v>
      </c>
      <c r="W158" t="s">
        <v>494</v>
      </c>
      <c r="X158" t="s">
        <v>494</v>
      </c>
      <c r="Y158" t="s">
        <v>712</v>
      </c>
      <c r="Z158">
        <v>1</v>
      </c>
      <c r="AA158">
        <v>1</v>
      </c>
      <c r="AE158" t="s">
        <v>42</v>
      </c>
      <c r="AF158" t="s">
        <v>496</v>
      </c>
      <c r="AG158" t="b">
        <v>0</v>
      </c>
      <c r="AH158" t="b">
        <v>0</v>
      </c>
      <c r="AI158" t="b">
        <v>0</v>
      </c>
      <c r="AK158" t="s">
        <v>497</v>
      </c>
      <c r="AL158" t="b">
        <v>0</v>
      </c>
      <c r="AM158" t="b">
        <v>0</v>
      </c>
    </row>
    <row r="159" spans="1:39">
      <c r="A159" t="s">
        <v>779</v>
      </c>
      <c r="B159" t="b">
        <v>1</v>
      </c>
      <c r="C159">
        <v>103055</v>
      </c>
      <c r="D159" t="s">
        <v>413</v>
      </c>
      <c r="E159" t="s">
        <v>414</v>
      </c>
      <c r="F159" t="s">
        <v>488</v>
      </c>
      <c r="G159" t="s">
        <v>489</v>
      </c>
      <c r="H159" t="s">
        <v>41</v>
      </c>
      <c r="I159">
        <v>1</v>
      </c>
      <c r="J159" s="4">
        <v>39229</v>
      </c>
      <c r="K159" s="4">
        <v>39229</v>
      </c>
      <c r="L159" s="5">
        <v>0.35416666666666669</v>
      </c>
      <c r="M159" s="5">
        <v>0.38541666666666669</v>
      </c>
      <c r="N159">
        <v>55.525739999999999</v>
      </c>
      <c r="O159">
        <v>13.93807</v>
      </c>
      <c r="P159">
        <v>432962</v>
      </c>
      <c r="Q159">
        <v>6153810</v>
      </c>
      <c r="R159" t="s">
        <v>490</v>
      </c>
      <c r="S159">
        <v>1981</v>
      </c>
      <c r="T159" t="s">
        <v>524</v>
      </c>
      <c r="U159" t="s">
        <v>525</v>
      </c>
      <c r="V159" t="s">
        <v>504</v>
      </c>
      <c r="W159" t="s">
        <v>494</v>
      </c>
      <c r="X159" t="s">
        <v>494</v>
      </c>
      <c r="Y159" t="s">
        <v>526</v>
      </c>
      <c r="Z159">
        <v>1</v>
      </c>
      <c r="AA159">
        <v>1</v>
      </c>
      <c r="AE159" t="s">
        <v>42</v>
      </c>
      <c r="AF159" t="s">
        <v>496</v>
      </c>
      <c r="AG159" t="b">
        <v>0</v>
      </c>
      <c r="AH159" t="b">
        <v>0</v>
      </c>
      <c r="AI159" t="b">
        <v>0</v>
      </c>
      <c r="AK159" t="s">
        <v>497</v>
      </c>
      <c r="AL159" t="b">
        <v>0</v>
      </c>
      <c r="AM159" t="b">
        <v>0</v>
      </c>
    </row>
    <row r="160" spans="1:39">
      <c r="A160" t="s">
        <v>780</v>
      </c>
      <c r="B160" t="b">
        <v>1</v>
      </c>
      <c r="C160">
        <v>103055</v>
      </c>
      <c r="D160" t="s">
        <v>413</v>
      </c>
      <c r="E160" t="s">
        <v>414</v>
      </c>
      <c r="F160" t="s">
        <v>488</v>
      </c>
      <c r="G160" t="s">
        <v>489</v>
      </c>
      <c r="H160" t="s">
        <v>41</v>
      </c>
      <c r="I160">
        <v>1</v>
      </c>
      <c r="J160" s="4">
        <v>39274</v>
      </c>
      <c r="K160" s="4">
        <v>39274</v>
      </c>
      <c r="L160" s="5">
        <v>0</v>
      </c>
      <c r="M160" s="5">
        <v>0</v>
      </c>
      <c r="N160">
        <v>55.527650000000001</v>
      </c>
      <c r="O160">
        <v>13.900119999999999</v>
      </c>
      <c r="P160">
        <v>430570</v>
      </c>
      <c r="Q160">
        <v>6154060</v>
      </c>
      <c r="R160" t="s">
        <v>490</v>
      </c>
      <c r="S160">
        <v>250</v>
      </c>
      <c r="T160" t="s">
        <v>578</v>
      </c>
      <c r="U160" t="s">
        <v>525</v>
      </c>
      <c r="V160" t="s">
        <v>504</v>
      </c>
      <c r="W160" t="s">
        <v>494</v>
      </c>
      <c r="X160" t="s">
        <v>494</v>
      </c>
      <c r="Y160" t="s">
        <v>781</v>
      </c>
      <c r="Z160">
        <v>1</v>
      </c>
      <c r="AA160">
        <v>1</v>
      </c>
      <c r="AD160" t="s">
        <v>510</v>
      </c>
      <c r="AE160" t="s">
        <v>42</v>
      </c>
      <c r="AF160" t="s">
        <v>496</v>
      </c>
      <c r="AG160" t="b">
        <v>0</v>
      </c>
      <c r="AH160" t="b">
        <v>0</v>
      </c>
      <c r="AI160" t="b">
        <v>0</v>
      </c>
      <c r="AK160" t="s">
        <v>497</v>
      </c>
      <c r="AL160" t="b">
        <v>0</v>
      </c>
      <c r="AM160" t="b">
        <v>0</v>
      </c>
    </row>
    <row r="161" spans="1:39">
      <c r="A161" t="s">
        <v>782</v>
      </c>
      <c r="B161" t="b">
        <v>1</v>
      </c>
      <c r="C161">
        <v>103003</v>
      </c>
      <c r="D161" t="s">
        <v>350</v>
      </c>
      <c r="E161" t="s">
        <v>351</v>
      </c>
      <c r="F161" t="s">
        <v>488</v>
      </c>
      <c r="G161" t="s">
        <v>489</v>
      </c>
      <c r="H161" t="s">
        <v>85</v>
      </c>
      <c r="I161">
        <v>1</v>
      </c>
      <c r="J161" s="4">
        <v>41810</v>
      </c>
      <c r="K161" s="4">
        <v>41813</v>
      </c>
      <c r="L161" s="5">
        <v>0</v>
      </c>
      <c r="M161" s="5">
        <v>0</v>
      </c>
      <c r="N161">
        <v>55.555309999999999</v>
      </c>
      <c r="O161">
        <v>13.8569</v>
      </c>
      <c r="P161">
        <v>427893</v>
      </c>
      <c r="Q161">
        <v>6157182</v>
      </c>
      <c r="R161" t="s">
        <v>490</v>
      </c>
      <c r="S161">
        <v>140</v>
      </c>
      <c r="T161" t="s">
        <v>491</v>
      </c>
      <c r="U161" t="s">
        <v>492</v>
      </c>
      <c r="V161" t="s">
        <v>493</v>
      </c>
      <c r="W161" t="s">
        <v>494</v>
      </c>
      <c r="X161" t="s">
        <v>494</v>
      </c>
      <c r="Y161" t="s">
        <v>495</v>
      </c>
      <c r="Z161">
        <v>1</v>
      </c>
      <c r="AA161">
        <v>1</v>
      </c>
      <c r="AD161" t="s">
        <v>510</v>
      </c>
      <c r="AE161" t="s">
        <v>57</v>
      </c>
      <c r="AF161" t="s">
        <v>601</v>
      </c>
      <c r="AG161" t="b">
        <v>0</v>
      </c>
      <c r="AH161" t="b">
        <v>0</v>
      </c>
      <c r="AI161" t="b">
        <v>0</v>
      </c>
      <c r="AK161" t="s">
        <v>497</v>
      </c>
      <c r="AL161" t="b">
        <v>0</v>
      </c>
      <c r="AM161" t="b">
        <v>0</v>
      </c>
    </row>
    <row r="162" spans="1:39">
      <c r="A162" t="s">
        <v>783</v>
      </c>
      <c r="B162" t="b">
        <v>1</v>
      </c>
      <c r="C162">
        <v>100049</v>
      </c>
      <c r="D162" t="s">
        <v>295</v>
      </c>
      <c r="E162" t="s">
        <v>296</v>
      </c>
      <c r="F162" t="s">
        <v>488</v>
      </c>
      <c r="G162" t="s">
        <v>489</v>
      </c>
      <c r="H162" t="s">
        <v>46</v>
      </c>
      <c r="I162">
        <v>1</v>
      </c>
      <c r="J162" s="4">
        <v>42201</v>
      </c>
      <c r="K162" s="4">
        <v>42201</v>
      </c>
      <c r="L162" s="5">
        <v>0.79166666666666663</v>
      </c>
      <c r="M162" s="5">
        <v>0.79166666666666663</v>
      </c>
      <c r="N162">
        <v>55.555309999999999</v>
      </c>
      <c r="O162">
        <v>13.8569</v>
      </c>
      <c r="P162">
        <v>427893</v>
      </c>
      <c r="Q162">
        <v>6157182</v>
      </c>
      <c r="R162" t="s">
        <v>490</v>
      </c>
      <c r="S162">
        <v>140</v>
      </c>
      <c r="T162" t="s">
        <v>491</v>
      </c>
      <c r="U162" t="s">
        <v>492</v>
      </c>
      <c r="V162" t="s">
        <v>493</v>
      </c>
      <c r="W162" t="s">
        <v>494</v>
      </c>
      <c r="X162" t="s">
        <v>494</v>
      </c>
      <c r="Y162" t="s">
        <v>784</v>
      </c>
      <c r="Z162">
        <v>1</v>
      </c>
      <c r="AA162">
        <v>1</v>
      </c>
      <c r="AE162" t="s">
        <v>42</v>
      </c>
      <c r="AF162" t="s">
        <v>496</v>
      </c>
      <c r="AG162" t="b">
        <v>0</v>
      </c>
      <c r="AH162" t="b">
        <v>0</v>
      </c>
      <c r="AI162" t="b">
        <v>0</v>
      </c>
      <c r="AK162" t="s">
        <v>497</v>
      </c>
      <c r="AL162" t="b">
        <v>0</v>
      </c>
      <c r="AM162" t="b">
        <v>0</v>
      </c>
    </row>
    <row r="163" spans="1:39">
      <c r="A163" t="s">
        <v>785</v>
      </c>
      <c r="B163" t="b">
        <v>1</v>
      </c>
      <c r="C163">
        <v>102626</v>
      </c>
      <c r="D163" t="s">
        <v>318</v>
      </c>
      <c r="E163" t="s">
        <v>319</v>
      </c>
      <c r="F163" t="s">
        <v>488</v>
      </c>
      <c r="G163" t="s">
        <v>489</v>
      </c>
      <c r="H163" t="s">
        <v>46</v>
      </c>
      <c r="I163">
        <v>1</v>
      </c>
      <c r="J163" s="4">
        <v>41816</v>
      </c>
      <c r="K163" s="4">
        <v>41816</v>
      </c>
      <c r="L163" s="5">
        <v>0.33333333333333331</v>
      </c>
      <c r="M163" s="5">
        <v>0.38541666666666669</v>
      </c>
      <c r="N163">
        <v>55.547759999999997</v>
      </c>
      <c r="O163">
        <v>13.86754</v>
      </c>
      <c r="P163">
        <v>428550</v>
      </c>
      <c r="Q163">
        <v>6156331</v>
      </c>
      <c r="R163" t="s">
        <v>490</v>
      </c>
      <c r="S163">
        <v>627</v>
      </c>
      <c r="T163" t="s">
        <v>541</v>
      </c>
      <c r="U163" t="s">
        <v>525</v>
      </c>
      <c r="V163" t="s">
        <v>504</v>
      </c>
      <c r="W163" t="s">
        <v>494</v>
      </c>
      <c r="X163" t="s">
        <v>494</v>
      </c>
      <c r="Y163" t="s">
        <v>786</v>
      </c>
      <c r="Z163">
        <v>2</v>
      </c>
      <c r="AA163">
        <v>2</v>
      </c>
      <c r="AC163" t="s">
        <v>512</v>
      </c>
      <c r="AD163" t="s">
        <v>527</v>
      </c>
      <c r="AE163" t="s">
        <v>542</v>
      </c>
      <c r="AF163" t="s">
        <v>496</v>
      </c>
      <c r="AG163" t="b">
        <v>0</v>
      </c>
      <c r="AH163" t="b">
        <v>0</v>
      </c>
      <c r="AI163" t="b">
        <v>0</v>
      </c>
      <c r="AK163" t="s">
        <v>497</v>
      </c>
      <c r="AL163" t="b">
        <v>0</v>
      </c>
      <c r="AM163" t="b">
        <v>0</v>
      </c>
    </row>
    <row r="164" spans="1:39">
      <c r="A164" t="s">
        <v>787</v>
      </c>
      <c r="B164" t="b">
        <v>1</v>
      </c>
      <c r="C164">
        <v>103037</v>
      </c>
      <c r="D164" t="s">
        <v>368</v>
      </c>
      <c r="E164" t="s">
        <v>369</v>
      </c>
      <c r="F164" t="s">
        <v>488</v>
      </c>
      <c r="G164" t="s">
        <v>489</v>
      </c>
      <c r="H164" t="s">
        <v>85</v>
      </c>
      <c r="I164">
        <v>1</v>
      </c>
      <c r="J164" s="4">
        <v>41706</v>
      </c>
      <c r="K164" s="4">
        <v>41706</v>
      </c>
      <c r="L164" s="5">
        <v>0</v>
      </c>
      <c r="M164" s="5">
        <v>0</v>
      </c>
      <c r="N164">
        <v>55.555309999999999</v>
      </c>
      <c r="O164">
        <v>13.8569</v>
      </c>
      <c r="P164">
        <v>427893</v>
      </c>
      <c r="Q164">
        <v>6157182</v>
      </c>
      <c r="R164" t="s">
        <v>490</v>
      </c>
      <c r="S164">
        <v>140</v>
      </c>
      <c r="T164" t="s">
        <v>491</v>
      </c>
      <c r="U164" t="s">
        <v>492</v>
      </c>
      <c r="V164" t="s">
        <v>493</v>
      </c>
      <c r="W164" t="s">
        <v>494</v>
      </c>
      <c r="X164" t="s">
        <v>494</v>
      </c>
      <c r="Y164" t="s">
        <v>495</v>
      </c>
      <c r="Z164">
        <v>4</v>
      </c>
      <c r="AA164">
        <v>4</v>
      </c>
      <c r="AE164" t="s">
        <v>42</v>
      </c>
      <c r="AF164" t="s">
        <v>496</v>
      </c>
      <c r="AG164" t="b">
        <v>0</v>
      </c>
      <c r="AH164" t="b">
        <v>0</v>
      </c>
      <c r="AI164" t="b">
        <v>0</v>
      </c>
      <c r="AK164" t="s">
        <v>497</v>
      </c>
      <c r="AL164" t="b">
        <v>0</v>
      </c>
      <c r="AM164" t="b">
        <v>0</v>
      </c>
    </row>
    <row r="165" spans="1:39">
      <c r="A165" t="s">
        <v>788</v>
      </c>
      <c r="B165" t="b">
        <v>1</v>
      </c>
      <c r="C165">
        <v>102972</v>
      </c>
      <c r="D165" t="s">
        <v>55</v>
      </c>
      <c r="E165" t="s">
        <v>56</v>
      </c>
      <c r="F165" t="s">
        <v>488</v>
      </c>
      <c r="G165" t="s">
        <v>489</v>
      </c>
      <c r="H165" t="s">
        <v>41</v>
      </c>
      <c r="I165">
        <v>1</v>
      </c>
      <c r="J165" s="4">
        <v>37102</v>
      </c>
      <c r="K165" s="4">
        <v>37102</v>
      </c>
      <c r="L165" s="5">
        <v>0</v>
      </c>
      <c r="M165" s="5">
        <v>0</v>
      </c>
      <c r="N165">
        <v>55.54081</v>
      </c>
      <c r="O165">
        <v>13.95609</v>
      </c>
      <c r="P165">
        <v>434125</v>
      </c>
      <c r="Q165">
        <v>6155470</v>
      </c>
      <c r="R165" t="s">
        <v>490</v>
      </c>
      <c r="S165">
        <v>1500</v>
      </c>
      <c r="T165" t="s">
        <v>507</v>
      </c>
      <c r="U165" t="s">
        <v>508</v>
      </c>
      <c r="V165" t="s">
        <v>504</v>
      </c>
      <c r="W165" t="s">
        <v>494</v>
      </c>
      <c r="X165" t="s">
        <v>494</v>
      </c>
      <c r="Y165" t="s">
        <v>789</v>
      </c>
      <c r="Z165">
        <v>1</v>
      </c>
      <c r="AA165">
        <v>1</v>
      </c>
      <c r="AD165" t="s">
        <v>510</v>
      </c>
      <c r="AE165" t="s">
        <v>42</v>
      </c>
      <c r="AF165" t="s">
        <v>496</v>
      </c>
      <c r="AG165" t="b">
        <v>0</v>
      </c>
      <c r="AH165" t="b">
        <v>0</v>
      </c>
      <c r="AI165" t="b">
        <v>0</v>
      </c>
      <c r="AK165" t="s">
        <v>497</v>
      </c>
      <c r="AL165" t="b">
        <v>0</v>
      </c>
      <c r="AM165" t="b">
        <v>0</v>
      </c>
    </row>
    <row r="166" spans="1:39">
      <c r="A166" t="s">
        <v>790</v>
      </c>
      <c r="B166" t="b">
        <v>1</v>
      </c>
      <c r="C166">
        <v>103037</v>
      </c>
      <c r="D166" t="s">
        <v>368</v>
      </c>
      <c r="E166" t="s">
        <v>369</v>
      </c>
      <c r="F166" t="s">
        <v>488</v>
      </c>
      <c r="G166" t="s">
        <v>489</v>
      </c>
      <c r="H166" t="s">
        <v>85</v>
      </c>
      <c r="I166">
        <v>1</v>
      </c>
      <c r="J166" s="4">
        <v>39173</v>
      </c>
      <c r="K166" s="4">
        <v>39173</v>
      </c>
      <c r="L166" s="5">
        <v>0</v>
      </c>
      <c r="M166" s="5">
        <v>0</v>
      </c>
      <c r="N166">
        <v>55.555309999999999</v>
      </c>
      <c r="O166">
        <v>13.8569</v>
      </c>
      <c r="P166">
        <v>427893</v>
      </c>
      <c r="Q166">
        <v>6157182</v>
      </c>
      <c r="R166" t="s">
        <v>490</v>
      </c>
      <c r="S166">
        <v>140</v>
      </c>
      <c r="T166" t="s">
        <v>491</v>
      </c>
      <c r="U166" t="s">
        <v>492</v>
      </c>
      <c r="V166" t="s">
        <v>493</v>
      </c>
      <c r="W166" t="s">
        <v>494</v>
      </c>
      <c r="X166" t="s">
        <v>494</v>
      </c>
      <c r="Y166" t="s">
        <v>495</v>
      </c>
      <c r="Z166">
        <v>2</v>
      </c>
      <c r="AA166">
        <v>2</v>
      </c>
      <c r="AD166" t="s">
        <v>527</v>
      </c>
      <c r="AE166" t="s">
        <v>52</v>
      </c>
      <c r="AF166" t="s">
        <v>496</v>
      </c>
      <c r="AG166" t="b">
        <v>0</v>
      </c>
      <c r="AH166" t="b">
        <v>0</v>
      </c>
      <c r="AI166" t="b">
        <v>0</v>
      </c>
      <c r="AK166" t="s">
        <v>497</v>
      </c>
      <c r="AL166" t="b">
        <v>0</v>
      </c>
      <c r="AM166" t="b">
        <v>0</v>
      </c>
    </row>
    <row r="167" spans="1:39">
      <c r="A167" t="s">
        <v>791</v>
      </c>
      <c r="B167" t="b">
        <v>1</v>
      </c>
      <c r="C167">
        <v>103036</v>
      </c>
      <c r="D167" t="s">
        <v>324</v>
      </c>
      <c r="E167" t="s">
        <v>325</v>
      </c>
      <c r="F167" t="s">
        <v>488</v>
      </c>
      <c r="G167" t="s">
        <v>489</v>
      </c>
      <c r="H167" t="s">
        <v>46</v>
      </c>
      <c r="I167">
        <v>1</v>
      </c>
      <c r="J167" s="4">
        <v>40950</v>
      </c>
      <c r="K167" s="4">
        <v>40950</v>
      </c>
      <c r="L167" s="5">
        <v>0</v>
      </c>
      <c r="M167" s="5">
        <v>0</v>
      </c>
      <c r="N167">
        <v>55.555309999999999</v>
      </c>
      <c r="O167">
        <v>13.8569</v>
      </c>
      <c r="P167">
        <v>427893</v>
      </c>
      <c r="Q167">
        <v>6157182</v>
      </c>
      <c r="R167" t="s">
        <v>490</v>
      </c>
      <c r="S167">
        <v>140</v>
      </c>
      <c r="T167" t="s">
        <v>491</v>
      </c>
      <c r="U167" t="s">
        <v>492</v>
      </c>
      <c r="V167" t="s">
        <v>493</v>
      </c>
      <c r="W167" t="s">
        <v>494</v>
      </c>
      <c r="X167" t="s">
        <v>494</v>
      </c>
      <c r="Y167" t="s">
        <v>495</v>
      </c>
      <c r="Z167">
        <v>2</v>
      </c>
      <c r="AA167">
        <v>2</v>
      </c>
      <c r="AE167" t="s">
        <v>42</v>
      </c>
      <c r="AF167" t="s">
        <v>496</v>
      </c>
      <c r="AG167" t="b">
        <v>0</v>
      </c>
      <c r="AH167" t="b">
        <v>0</v>
      </c>
      <c r="AI167" t="b">
        <v>0</v>
      </c>
      <c r="AK167" t="s">
        <v>497</v>
      </c>
      <c r="AL167" t="b">
        <v>0</v>
      </c>
      <c r="AM167" t="b">
        <v>0</v>
      </c>
    </row>
    <row r="168" spans="1:39">
      <c r="A168" t="s">
        <v>792</v>
      </c>
      <c r="B168" t="b">
        <v>1</v>
      </c>
      <c r="C168">
        <v>103055</v>
      </c>
      <c r="D168" t="s">
        <v>413</v>
      </c>
      <c r="E168" t="s">
        <v>414</v>
      </c>
      <c r="F168" t="s">
        <v>488</v>
      </c>
      <c r="G168" t="s">
        <v>489</v>
      </c>
      <c r="H168" t="s">
        <v>41</v>
      </c>
      <c r="I168">
        <v>1</v>
      </c>
      <c r="J168" s="4">
        <v>41078</v>
      </c>
      <c r="K168" s="4">
        <v>41078</v>
      </c>
      <c r="L168" s="5">
        <v>0.39583333333333331</v>
      </c>
      <c r="M168" s="5">
        <v>0.63541666666666663</v>
      </c>
      <c r="N168">
        <v>55.527650000000001</v>
      </c>
      <c r="O168">
        <v>13.900119999999999</v>
      </c>
      <c r="P168">
        <v>430570</v>
      </c>
      <c r="Q168">
        <v>6154060</v>
      </c>
      <c r="R168" t="s">
        <v>490</v>
      </c>
      <c r="S168">
        <v>250</v>
      </c>
      <c r="T168" t="s">
        <v>578</v>
      </c>
      <c r="U168" t="s">
        <v>525</v>
      </c>
      <c r="V168" t="s">
        <v>504</v>
      </c>
      <c r="W168" t="s">
        <v>494</v>
      </c>
      <c r="X168" t="s">
        <v>494</v>
      </c>
      <c r="Y168" t="s">
        <v>793</v>
      </c>
      <c r="Z168">
        <v>1</v>
      </c>
      <c r="AA168">
        <v>1</v>
      </c>
      <c r="AE168" t="s">
        <v>42</v>
      </c>
      <c r="AF168" t="s">
        <v>496</v>
      </c>
      <c r="AG168" t="b">
        <v>0</v>
      </c>
      <c r="AH168" t="b">
        <v>0</v>
      </c>
      <c r="AI168" t="b">
        <v>0</v>
      </c>
      <c r="AK168" t="s">
        <v>497</v>
      </c>
      <c r="AL168" t="b">
        <v>0</v>
      </c>
      <c r="AM168" t="b">
        <v>0</v>
      </c>
    </row>
    <row r="169" spans="1:39">
      <c r="A169" t="s">
        <v>794</v>
      </c>
      <c r="B169" t="b">
        <v>1</v>
      </c>
      <c r="C169">
        <v>102976</v>
      </c>
      <c r="D169" t="s">
        <v>243</v>
      </c>
      <c r="E169" t="s">
        <v>244</v>
      </c>
      <c r="F169" t="s">
        <v>488</v>
      </c>
      <c r="G169" t="s">
        <v>489</v>
      </c>
      <c r="H169" t="s">
        <v>85</v>
      </c>
      <c r="I169">
        <v>1</v>
      </c>
      <c r="J169" s="4">
        <v>44015</v>
      </c>
      <c r="K169" s="4">
        <v>44015</v>
      </c>
      <c r="L169" s="5">
        <v>0.29166666666666669</v>
      </c>
      <c r="M169" s="5">
        <v>0.29166666666666669</v>
      </c>
      <c r="N169">
        <v>55.54081</v>
      </c>
      <c r="O169">
        <v>13.95609</v>
      </c>
      <c r="P169">
        <v>434125</v>
      </c>
      <c r="Q169">
        <v>6155470</v>
      </c>
      <c r="R169" t="s">
        <v>490</v>
      </c>
      <c r="S169">
        <v>1500</v>
      </c>
      <c r="T169" t="s">
        <v>507</v>
      </c>
      <c r="U169" t="s">
        <v>508</v>
      </c>
      <c r="V169" t="s">
        <v>504</v>
      </c>
      <c r="W169" t="s">
        <v>494</v>
      </c>
      <c r="X169" t="s">
        <v>494</v>
      </c>
      <c r="Y169" t="s">
        <v>770</v>
      </c>
      <c r="Z169">
        <v>2</v>
      </c>
      <c r="AA169">
        <v>2</v>
      </c>
      <c r="AE169" t="s">
        <v>538</v>
      </c>
      <c r="AF169" t="s">
        <v>496</v>
      </c>
      <c r="AG169" t="b">
        <v>0</v>
      </c>
      <c r="AH169" t="b">
        <v>0</v>
      </c>
      <c r="AI169" t="b">
        <v>0</v>
      </c>
      <c r="AK169" t="s">
        <v>497</v>
      </c>
      <c r="AL169" t="b">
        <v>0</v>
      </c>
      <c r="AM169" t="b">
        <v>0</v>
      </c>
    </row>
    <row r="170" spans="1:39">
      <c r="A170" t="s">
        <v>795</v>
      </c>
      <c r="B170" t="b">
        <v>1</v>
      </c>
      <c r="C170">
        <v>103055</v>
      </c>
      <c r="D170" t="s">
        <v>413</v>
      </c>
      <c r="E170" t="s">
        <v>414</v>
      </c>
      <c r="F170" t="s">
        <v>488</v>
      </c>
      <c r="G170" t="s">
        <v>489</v>
      </c>
      <c r="H170" t="s">
        <v>41</v>
      </c>
      <c r="I170">
        <v>1</v>
      </c>
      <c r="J170" s="4">
        <v>43999</v>
      </c>
      <c r="K170" s="4">
        <v>43999</v>
      </c>
      <c r="L170" s="5">
        <v>0.70833333333333337</v>
      </c>
      <c r="M170" s="5">
        <v>0.74305555555555558</v>
      </c>
      <c r="N170">
        <v>55.513469999999998</v>
      </c>
      <c r="O170">
        <v>13.92332</v>
      </c>
      <c r="P170">
        <v>432010</v>
      </c>
      <c r="Q170">
        <v>6152459</v>
      </c>
      <c r="R170" t="s">
        <v>490</v>
      </c>
      <c r="S170">
        <v>300</v>
      </c>
      <c r="T170" t="s">
        <v>796</v>
      </c>
      <c r="U170" t="s">
        <v>503</v>
      </c>
      <c r="V170" t="s">
        <v>504</v>
      </c>
      <c r="W170" t="s">
        <v>494</v>
      </c>
      <c r="X170" t="s">
        <v>494</v>
      </c>
      <c r="Y170" t="s">
        <v>536</v>
      </c>
      <c r="Z170">
        <v>1</v>
      </c>
      <c r="AA170">
        <v>1</v>
      </c>
      <c r="AE170" t="s">
        <v>42</v>
      </c>
      <c r="AF170" t="s">
        <v>496</v>
      </c>
      <c r="AG170" t="b">
        <v>0</v>
      </c>
      <c r="AH170" t="b">
        <v>0</v>
      </c>
      <c r="AI170" t="b">
        <v>0</v>
      </c>
      <c r="AK170" t="s">
        <v>497</v>
      </c>
      <c r="AL170" t="b">
        <v>0</v>
      </c>
      <c r="AM170" t="b">
        <v>0</v>
      </c>
    </row>
    <row r="171" spans="1:39">
      <c r="A171" t="s">
        <v>797</v>
      </c>
      <c r="B171" t="b">
        <v>1</v>
      </c>
      <c r="C171">
        <v>100049</v>
      </c>
      <c r="D171" t="s">
        <v>295</v>
      </c>
      <c r="E171" t="s">
        <v>296</v>
      </c>
      <c r="F171" t="s">
        <v>488</v>
      </c>
      <c r="G171" t="s">
        <v>489</v>
      </c>
      <c r="H171" t="s">
        <v>46</v>
      </c>
      <c r="I171">
        <v>1</v>
      </c>
      <c r="J171" s="4">
        <v>43888</v>
      </c>
      <c r="K171" s="4">
        <v>43888</v>
      </c>
      <c r="L171" s="5">
        <v>0.31944444444444442</v>
      </c>
      <c r="M171" s="5">
        <v>0.35069444444444442</v>
      </c>
      <c r="N171">
        <v>55.530740000000002</v>
      </c>
      <c r="O171">
        <v>13.879630000000001</v>
      </c>
      <c r="P171">
        <v>429282</v>
      </c>
      <c r="Q171">
        <v>6154424</v>
      </c>
      <c r="R171" t="s">
        <v>490</v>
      </c>
      <c r="S171">
        <v>310</v>
      </c>
      <c r="T171" t="s">
        <v>499</v>
      </c>
      <c r="U171" t="s">
        <v>492</v>
      </c>
      <c r="V171" t="s">
        <v>493</v>
      </c>
      <c r="W171" t="s">
        <v>494</v>
      </c>
      <c r="X171" t="s">
        <v>494</v>
      </c>
      <c r="Y171" t="s">
        <v>704</v>
      </c>
      <c r="Z171">
        <v>1</v>
      </c>
      <c r="AA171">
        <v>1</v>
      </c>
      <c r="AE171" t="s">
        <v>42</v>
      </c>
      <c r="AF171" t="s">
        <v>496</v>
      </c>
      <c r="AG171" t="b">
        <v>0</v>
      </c>
      <c r="AH171" t="b">
        <v>0</v>
      </c>
      <c r="AI171" t="b">
        <v>0</v>
      </c>
      <c r="AK171" t="s">
        <v>497</v>
      </c>
      <c r="AL171" t="b">
        <v>0</v>
      </c>
      <c r="AM171" t="b">
        <v>0</v>
      </c>
    </row>
    <row r="172" spans="1:39">
      <c r="A172" t="s">
        <v>798</v>
      </c>
      <c r="B172" t="b">
        <v>1</v>
      </c>
      <c r="C172">
        <v>100028</v>
      </c>
      <c r="D172" t="s">
        <v>60</v>
      </c>
      <c r="E172" t="s">
        <v>61</v>
      </c>
      <c r="F172" t="s">
        <v>488</v>
      </c>
      <c r="G172" t="s">
        <v>489</v>
      </c>
      <c r="H172" t="s">
        <v>46</v>
      </c>
      <c r="I172">
        <v>1</v>
      </c>
      <c r="J172" s="4">
        <v>43943</v>
      </c>
      <c r="K172" s="4">
        <v>43943</v>
      </c>
      <c r="L172" s="5">
        <v>0.54166666666666663</v>
      </c>
      <c r="M172" s="5">
        <v>0.57638888888888884</v>
      </c>
      <c r="N172">
        <v>55.515189999999997</v>
      </c>
      <c r="O172">
        <v>13.899330000000001</v>
      </c>
      <c r="P172">
        <v>430498</v>
      </c>
      <c r="Q172">
        <v>6152673</v>
      </c>
      <c r="R172" t="s">
        <v>490</v>
      </c>
      <c r="S172">
        <v>125</v>
      </c>
      <c r="T172" t="s">
        <v>552</v>
      </c>
      <c r="U172" t="s">
        <v>525</v>
      </c>
      <c r="V172" t="s">
        <v>504</v>
      </c>
      <c r="W172" t="s">
        <v>494</v>
      </c>
      <c r="X172" t="s">
        <v>494</v>
      </c>
      <c r="Y172" t="s">
        <v>536</v>
      </c>
      <c r="Z172">
        <v>2</v>
      </c>
      <c r="AA172">
        <v>2</v>
      </c>
      <c r="AC172" t="s">
        <v>512</v>
      </c>
      <c r="AE172" t="s">
        <v>439</v>
      </c>
      <c r="AF172" t="s">
        <v>496</v>
      </c>
      <c r="AG172" t="b">
        <v>0</v>
      </c>
      <c r="AH172" t="b">
        <v>0</v>
      </c>
      <c r="AI172" t="b">
        <v>0</v>
      </c>
      <c r="AK172" t="s">
        <v>497</v>
      </c>
      <c r="AL172" t="b">
        <v>0</v>
      </c>
      <c r="AM172" t="b">
        <v>0</v>
      </c>
    </row>
    <row r="173" spans="1:39">
      <c r="A173" t="s">
        <v>799</v>
      </c>
      <c r="B173" t="b">
        <v>1</v>
      </c>
      <c r="C173">
        <v>102977</v>
      </c>
      <c r="D173" t="s">
        <v>47</v>
      </c>
      <c r="E173" t="s">
        <v>48</v>
      </c>
      <c r="F173" t="s">
        <v>488</v>
      </c>
      <c r="G173" t="s">
        <v>489</v>
      </c>
      <c r="H173" t="s">
        <v>46</v>
      </c>
      <c r="I173">
        <v>1</v>
      </c>
      <c r="J173" s="4">
        <v>43608</v>
      </c>
      <c r="K173" s="4">
        <v>43608</v>
      </c>
      <c r="L173" s="5">
        <v>0.34027777777777779</v>
      </c>
      <c r="M173" s="5">
        <v>0.4513888888888889</v>
      </c>
      <c r="N173">
        <v>55.527650000000001</v>
      </c>
      <c r="O173">
        <v>13.900119999999999</v>
      </c>
      <c r="P173">
        <v>430570</v>
      </c>
      <c r="Q173">
        <v>6154060</v>
      </c>
      <c r="R173" t="s">
        <v>490</v>
      </c>
      <c r="S173">
        <v>250</v>
      </c>
      <c r="T173" t="s">
        <v>578</v>
      </c>
      <c r="U173" t="s">
        <v>525</v>
      </c>
      <c r="V173" t="s">
        <v>504</v>
      </c>
      <c r="W173" t="s">
        <v>494</v>
      </c>
      <c r="X173" t="s">
        <v>494</v>
      </c>
      <c r="Y173" t="s">
        <v>588</v>
      </c>
      <c r="Z173">
        <v>1</v>
      </c>
      <c r="AA173">
        <v>1</v>
      </c>
      <c r="AE173" t="s">
        <v>42</v>
      </c>
      <c r="AF173" t="s">
        <v>496</v>
      </c>
      <c r="AG173" t="b">
        <v>0</v>
      </c>
      <c r="AH173" t="b">
        <v>0</v>
      </c>
      <c r="AI173" t="b">
        <v>0</v>
      </c>
      <c r="AK173" t="s">
        <v>497</v>
      </c>
      <c r="AL173" t="b">
        <v>0</v>
      </c>
      <c r="AM173" t="b">
        <v>0</v>
      </c>
    </row>
    <row r="174" spans="1:39">
      <c r="A174" t="s">
        <v>800</v>
      </c>
      <c r="B174" t="b">
        <v>1</v>
      </c>
      <c r="C174">
        <v>103012</v>
      </c>
      <c r="D174" t="s">
        <v>358</v>
      </c>
      <c r="E174" t="s">
        <v>359</v>
      </c>
      <c r="F174" t="s">
        <v>488</v>
      </c>
      <c r="G174" t="s">
        <v>489</v>
      </c>
      <c r="H174" t="s">
        <v>41</v>
      </c>
      <c r="I174">
        <v>1</v>
      </c>
      <c r="J174" s="4">
        <v>42482</v>
      </c>
      <c r="K174" s="4">
        <v>42482</v>
      </c>
      <c r="N174">
        <v>55.547759999999997</v>
      </c>
      <c r="O174">
        <v>13.86754</v>
      </c>
      <c r="P174">
        <v>428550</v>
      </c>
      <c r="Q174">
        <v>6156331</v>
      </c>
      <c r="R174" t="s">
        <v>490</v>
      </c>
      <c r="S174">
        <v>627</v>
      </c>
      <c r="T174" t="s">
        <v>541</v>
      </c>
      <c r="U174" t="s">
        <v>525</v>
      </c>
      <c r="V174" t="s">
        <v>504</v>
      </c>
      <c r="W174" t="s">
        <v>494</v>
      </c>
      <c r="X174" t="s">
        <v>494</v>
      </c>
      <c r="Y174" t="s">
        <v>801</v>
      </c>
      <c r="Z174">
        <v>1</v>
      </c>
      <c r="AA174">
        <v>1</v>
      </c>
      <c r="AD174" t="s">
        <v>510</v>
      </c>
      <c r="AE174" t="s">
        <v>42</v>
      </c>
      <c r="AF174" t="s">
        <v>496</v>
      </c>
      <c r="AG174" t="b">
        <v>0</v>
      </c>
      <c r="AH174" t="b">
        <v>0</v>
      </c>
      <c r="AI174" t="b">
        <v>0</v>
      </c>
      <c r="AK174" t="s">
        <v>497</v>
      </c>
      <c r="AL174" t="b">
        <v>0</v>
      </c>
      <c r="AM174" t="b">
        <v>0</v>
      </c>
    </row>
    <row r="175" spans="1:39">
      <c r="A175" t="s">
        <v>802</v>
      </c>
      <c r="B175" t="b">
        <v>1</v>
      </c>
      <c r="C175">
        <v>103055</v>
      </c>
      <c r="D175" t="s">
        <v>413</v>
      </c>
      <c r="E175" t="s">
        <v>414</v>
      </c>
      <c r="F175" t="s">
        <v>488</v>
      </c>
      <c r="G175" t="s">
        <v>489</v>
      </c>
      <c r="H175" t="s">
        <v>41</v>
      </c>
      <c r="I175">
        <v>1</v>
      </c>
      <c r="J175" s="4">
        <v>41468</v>
      </c>
      <c r="K175" s="4">
        <v>41468</v>
      </c>
      <c r="L175" s="5">
        <v>0.55555555555555558</v>
      </c>
      <c r="M175" s="5">
        <v>0.56944444444444442</v>
      </c>
      <c r="N175">
        <v>55.547759999999997</v>
      </c>
      <c r="O175">
        <v>13.86754</v>
      </c>
      <c r="P175">
        <v>428550</v>
      </c>
      <c r="Q175">
        <v>6156331</v>
      </c>
      <c r="R175" t="s">
        <v>490</v>
      </c>
      <c r="S175">
        <v>627</v>
      </c>
      <c r="T175" t="s">
        <v>541</v>
      </c>
      <c r="U175" t="s">
        <v>525</v>
      </c>
      <c r="V175" t="s">
        <v>504</v>
      </c>
      <c r="W175" t="s">
        <v>494</v>
      </c>
      <c r="X175" t="s">
        <v>494</v>
      </c>
      <c r="Y175" t="s">
        <v>803</v>
      </c>
      <c r="Z175">
        <v>1</v>
      </c>
      <c r="AA175">
        <v>1</v>
      </c>
      <c r="AE175" t="s">
        <v>42</v>
      </c>
      <c r="AF175" t="s">
        <v>496</v>
      </c>
      <c r="AG175" t="b">
        <v>0</v>
      </c>
      <c r="AH175" t="b">
        <v>0</v>
      </c>
      <c r="AI175" t="b">
        <v>0</v>
      </c>
      <c r="AK175" t="s">
        <v>497</v>
      </c>
      <c r="AL175" t="b">
        <v>0</v>
      </c>
      <c r="AM175" t="b">
        <v>0</v>
      </c>
    </row>
    <row r="176" spans="1:39">
      <c r="A176" t="s">
        <v>804</v>
      </c>
      <c r="B176" t="b">
        <v>1</v>
      </c>
      <c r="C176">
        <v>103055</v>
      </c>
      <c r="D176" t="s">
        <v>413</v>
      </c>
      <c r="E176" t="s">
        <v>414</v>
      </c>
      <c r="F176" t="s">
        <v>488</v>
      </c>
      <c r="G176" t="s">
        <v>489</v>
      </c>
      <c r="H176" t="s">
        <v>41</v>
      </c>
      <c r="I176">
        <v>1</v>
      </c>
      <c r="J176" s="4">
        <v>40283</v>
      </c>
      <c r="K176" s="4">
        <v>40283</v>
      </c>
      <c r="L176" s="5">
        <v>0.49305555555555558</v>
      </c>
      <c r="M176" s="5">
        <v>0.51041666666666663</v>
      </c>
      <c r="N176">
        <v>55.530740000000002</v>
      </c>
      <c r="O176">
        <v>13.879630000000001</v>
      </c>
      <c r="P176">
        <v>429282</v>
      </c>
      <c r="Q176">
        <v>6154424</v>
      </c>
      <c r="R176" t="s">
        <v>490</v>
      </c>
      <c r="S176">
        <v>310</v>
      </c>
      <c r="T176" t="s">
        <v>499</v>
      </c>
      <c r="U176" t="s">
        <v>492</v>
      </c>
      <c r="V176" t="s">
        <v>493</v>
      </c>
      <c r="W176" t="s">
        <v>494</v>
      </c>
      <c r="X176" t="s">
        <v>494</v>
      </c>
      <c r="Y176" t="s">
        <v>805</v>
      </c>
      <c r="Z176">
        <v>1</v>
      </c>
      <c r="AA176">
        <v>1</v>
      </c>
      <c r="AD176" t="s">
        <v>510</v>
      </c>
      <c r="AE176" t="s">
        <v>538</v>
      </c>
      <c r="AF176" t="s">
        <v>496</v>
      </c>
      <c r="AG176" t="b">
        <v>0</v>
      </c>
      <c r="AH176" t="b">
        <v>0</v>
      </c>
      <c r="AI176" t="b">
        <v>0</v>
      </c>
      <c r="AK176" t="s">
        <v>497</v>
      </c>
      <c r="AL176" t="b">
        <v>0</v>
      </c>
      <c r="AM176" t="b">
        <v>0</v>
      </c>
    </row>
    <row r="177" spans="1:39">
      <c r="A177" t="s">
        <v>806</v>
      </c>
      <c r="B177" t="b">
        <v>1</v>
      </c>
      <c r="C177">
        <v>102934</v>
      </c>
      <c r="D177" t="s">
        <v>102</v>
      </c>
      <c r="E177" t="s">
        <v>103</v>
      </c>
      <c r="F177" t="s">
        <v>488</v>
      </c>
      <c r="G177" t="s">
        <v>489</v>
      </c>
      <c r="H177" t="s">
        <v>46</v>
      </c>
      <c r="I177">
        <v>1</v>
      </c>
      <c r="J177" s="4">
        <v>44313</v>
      </c>
      <c r="K177" s="4">
        <v>44313</v>
      </c>
      <c r="L177" s="5">
        <v>0.47916666666666669</v>
      </c>
      <c r="M177" s="5">
        <v>0.52083333333333337</v>
      </c>
      <c r="N177">
        <v>55.561889999999998</v>
      </c>
      <c r="O177">
        <v>13.92109</v>
      </c>
      <c r="P177">
        <v>431953</v>
      </c>
      <c r="Q177">
        <v>6157849</v>
      </c>
      <c r="R177" t="s">
        <v>490</v>
      </c>
      <c r="S177">
        <v>150</v>
      </c>
      <c r="T177" t="s">
        <v>807</v>
      </c>
      <c r="U177" t="s">
        <v>508</v>
      </c>
      <c r="V177" t="s">
        <v>504</v>
      </c>
      <c r="W177" t="s">
        <v>494</v>
      </c>
      <c r="X177" t="s">
        <v>494</v>
      </c>
      <c r="Y177" t="s">
        <v>536</v>
      </c>
      <c r="Z177">
        <v>2</v>
      </c>
      <c r="AA177">
        <v>2</v>
      </c>
      <c r="AE177" t="s">
        <v>538</v>
      </c>
      <c r="AF177" t="s">
        <v>496</v>
      </c>
      <c r="AG177" t="b">
        <v>0</v>
      </c>
      <c r="AH177" t="b">
        <v>0</v>
      </c>
      <c r="AI177" t="b">
        <v>0</v>
      </c>
      <c r="AK177" t="s">
        <v>497</v>
      </c>
      <c r="AL177" t="b">
        <v>0</v>
      </c>
      <c r="AM177" t="b">
        <v>0</v>
      </c>
    </row>
    <row r="178" spans="1:39">
      <c r="A178" t="s">
        <v>808</v>
      </c>
      <c r="B178" t="b">
        <v>1</v>
      </c>
      <c r="C178">
        <v>102987</v>
      </c>
      <c r="D178" t="s">
        <v>388</v>
      </c>
      <c r="E178" t="s">
        <v>389</v>
      </c>
      <c r="F178" t="s">
        <v>488</v>
      </c>
      <c r="G178" t="s">
        <v>489</v>
      </c>
      <c r="H178" t="s">
        <v>41</v>
      </c>
      <c r="I178">
        <v>1</v>
      </c>
      <c r="J178" s="4">
        <v>43587</v>
      </c>
      <c r="K178" s="4">
        <v>43587</v>
      </c>
      <c r="L178" s="5">
        <v>0.54166666666666663</v>
      </c>
      <c r="M178" s="5">
        <v>0.5625</v>
      </c>
      <c r="N178">
        <v>55.5351</v>
      </c>
      <c r="O178">
        <v>13.95862</v>
      </c>
      <c r="P178">
        <v>434276</v>
      </c>
      <c r="Q178">
        <v>6154832</v>
      </c>
      <c r="R178" t="s">
        <v>490</v>
      </c>
      <c r="S178">
        <v>400</v>
      </c>
      <c r="T178" t="s">
        <v>563</v>
      </c>
      <c r="U178" t="s">
        <v>508</v>
      </c>
      <c r="V178" t="s">
        <v>504</v>
      </c>
      <c r="W178" t="s">
        <v>494</v>
      </c>
      <c r="X178" t="s">
        <v>494</v>
      </c>
      <c r="Y178" t="s">
        <v>536</v>
      </c>
      <c r="Z178">
        <v>1</v>
      </c>
      <c r="AA178">
        <v>1</v>
      </c>
      <c r="AE178" t="s">
        <v>538</v>
      </c>
      <c r="AF178" t="s">
        <v>496</v>
      </c>
      <c r="AG178" t="b">
        <v>0</v>
      </c>
      <c r="AH178" t="b">
        <v>0</v>
      </c>
      <c r="AI178" t="b">
        <v>0</v>
      </c>
      <c r="AK178" t="s">
        <v>497</v>
      </c>
      <c r="AL178" t="b">
        <v>0</v>
      </c>
      <c r="AM178" t="b">
        <v>0</v>
      </c>
    </row>
    <row r="179" spans="1:39">
      <c r="A179" t="s">
        <v>809</v>
      </c>
      <c r="B179" t="b">
        <v>1</v>
      </c>
      <c r="C179">
        <v>103055</v>
      </c>
      <c r="D179" t="s">
        <v>413</v>
      </c>
      <c r="E179" t="s">
        <v>414</v>
      </c>
      <c r="F179" t="s">
        <v>488</v>
      </c>
      <c r="G179" t="s">
        <v>489</v>
      </c>
      <c r="H179" t="s">
        <v>41</v>
      </c>
      <c r="I179">
        <v>1</v>
      </c>
      <c r="J179" s="4">
        <v>44689</v>
      </c>
      <c r="K179" s="4">
        <v>44689</v>
      </c>
      <c r="L179" s="5">
        <v>0.68055555555555558</v>
      </c>
      <c r="M179" s="5">
        <v>0.72916666666666663</v>
      </c>
      <c r="N179">
        <v>55.51511</v>
      </c>
      <c r="O179">
        <v>13.915900000000001</v>
      </c>
      <c r="P179">
        <v>431544</v>
      </c>
      <c r="Q179">
        <v>6152649</v>
      </c>
      <c r="R179" t="s">
        <v>490</v>
      </c>
      <c r="S179">
        <v>150</v>
      </c>
      <c r="T179" t="s">
        <v>613</v>
      </c>
      <c r="U179" t="s">
        <v>525</v>
      </c>
      <c r="V179" t="s">
        <v>504</v>
      </c>
      <c r="W179" t="s">
        <v>494</v>
      </c>
      <c r="X179" t="s">
        <v>494</v>
      </c>
      <c r="Y179" t="s">
        <v>536</v>
      </c>
      <c r="Z179">
        <v>1</v>
      </c>
      <c r="AA179">
        <v>1</v>
      </c>
      <c r="AD179" t="s">
        <v>510</v>
      </c>
      <c r="AE179" t="s">
        <v>42</v>
      </c>
      <c r="AF179" t="s">
        <v>496</v>
      </c>
      <c r="AG179" t="b">
        <v>0</v>
      </c>
      <c r="AH179" t="b">
        <v>0</v>
      </c>
      <c r="AI179" t="b">
        <v>0</v>
      </c>
      <c r="AK179" t="s">
        <v>497</v>
      </c>
      <c r="AL179" t="b">
        <v>0</v>
      </c>
      <c r="AM179" t="b">
        <v>0</v>
      </c>
    </row>
    <row r="180" spans="1:39">
      <c r="A180" t="s">
        <v>810</v>
      </c>
      <c r="B180" t="b">
        <v>1</v>
      </c>
      <c r="C180">
        <v>103037</v>
      </c>
      <c r="D180" t="s">
        <v>368</v>
      </c>
      <c r="E180" t="s">
        <v>369</v>
      </c>
      <c r="F180" t="s">
        <v>488</v>
      </c>
      <c r="G180" t="s">
        <v>489</v>
      </c>
      <c r="H180" t="s">
        <v>85</v>
      </c>
      <c r="I180">
        <v>1</v>
      </c>
      <c r="J180" s="4">
        <v>44631</v>
      </c>
      <c r="K180" s="4">
        <v>44631</v>
      </c>
      <c r="L180" s="5">
        <v>0.72916666666666663</v>
      </c>
      <c r="M180" s="5">
        <v>0.72916666666666663</v>
      </c>
      <c r="N180">
        <v>55.558860000000003</v>
      </c>
      <c r="O180">
        <v>13.883039999999999</v>
      </c>
      <c r="P180">
        <v>429548</v>
      </c>
      <c r="Q180">
        <v>6157550</v>
      </c>
      <c r="R180" t="s">
        <v>490</v>
      </c>
      <c r="S180">
        <v>696</v>
      </c>
      <c r="T180" t="s">
        <v>682</v>
      </c>
      <c r="U180" t="s">
        <v>532</v>
      </c>
      <c r="V180" t="s">
        <v>504</v>
      </c>
      <c r="W180" t="s">
        <v>494</v>
      </c>
      <c r="X180" t="s">
        <v>494</v>
      </c>
      <c r="Y180" t="s">
        <v>536</v>
      </c>
      <c r="Z180">
        <v>9</v>
      </c>
      <c r="AA180">
        <v>9</v>
      </c>
      <c r="AE180" t="s">
        <v>42</v>
      </c>
      <c r="AF180" t="s">
        <v>496</v>
      </c>
      <c r="AG180" t="b">
        <v>0</v>
      </c>
      <c r="AH180" t="b">
        <v>0</v>
      </c>
      <c r="AI180" t="b">
        <v>0</v>
      </c>
      <c r="AK180" t="s">
        <v>497</v>
      </c>
      <c r="AL180" t="b">
        <v>0</v>
      </c>
      <c r="AM180" t="b">
        <v>0</v>
      </c>
    </row>
    <row r="181" spans="1:39">
      <c r="A181" t="s">
        <v>811</v>
      </c>
      <c r="B181" t="b">
        <v>1</v>
      </c>
      <c r="C181">
        <v>102626</v>
      </c>
      <c r="D181" t="s">
        <v>318</v>
      </c>
      <c r="E181" t="s">
        <v>319</v>
      </c>
      <c r="F181" t="s">
        <v>488</v>
      </c>
      <c r="G181" t="s">
        <v>489</v>
      </c>
      <c r="H181" t="s">
        <v>46</v>
      </c>
      <c r="I181">
        <v>1</v>
      </c>
      <c r="J181" s="4">
        <v>45088</v>
      </c>
      <c r="K181" s="4">
        <v>45088</v>
      </c>
      <c r="L181" s="5">
        <v>0.55555555555555558</v>
      </c>
      <c r="M181" s="5">
        <v>0.68333333333333335</v>
      </c>
      <c r="N181">
        <v>55.525739999999999</v>
      </c>
      <c r="O181">
        <v>13.93807</v>
      </c>
      <c r="P181">
        <v>432962</v>
      </c>
      <c r="Q181">
        <v>6153810</v>
      </c>
      <c r="R181" t="s">
        <v>490</v>
      </c>
      <c r="S181">
        <v>1981</v>
      </c>
      <c r="T181" t="s">
        <v>524</v>
      </c>
      <c r="U181" t="s">
        <v>525</v>
      </c>
      <c r="V181" t="s">
        <v>504</v>
      </c>
      <c r="W181" t="s">
        <v>494</v>
      </c>
      <c r="X181" t="s">
        <v>494</v>
      </c>
      <c r="Y181" t="s">
        <v>812</v>
      </c>
      <c r="Z181">
        <v>1</v>
      </c>
      <c r="AA181">
        <v>1</v>
      </c>
      <c r="AD181" t="s">
        <v>510</v>
      </c>
      <c r="AE181" t="s">
        <v>538</v>
      </c>
      <c r="AF181" t="s">
        <v>496</v>
      </c>
      <c r="AG181" t="b">
        <v>0</v>
      </c>
      <c r="AH181" t="b">
        <v>0</v>
      </c>
      <c r="AI181" t="b">
        <v>0</v>
      </c>
      <c r="AK181" t="s">
        <v>497</v>
      </c>
      <c r="AL181" t="b">
        <v>0</v>
      </c>
      <c r="AM181" t="b">
        <v>0</v>
      </c>
    </row>
    <row r="182" spans="1:39">
      <c r="A182" t="s">
        <v>813</v>
      </c>
      <c r="B182" t="b">
        <v>1</v>
      </c>
      <c r="C182">
        <v>103055</v>
      </c>
      <c r="D182" t="s">
        <v>413</v>
      </c>
      <c r="E182" t="s">
        <v>414</v>
      </c>
      <c r="F182" t="s">
        <v>488</v>
      </c>
      <c r="G182" t="s">
        <v>489</v>
      </c>
      <c r="H182" t="s">
        <v>41</v>
      </c>
      <c r="I182">
        <v>1</v>
      </c>
      <c r="J182" s="4">
        <v>45088</v>
      </c>
      <c r="K182" s="4">
        <v>45088</v>
      </c>
      <c r="N182">
        <v>55.525750000000002</v>
      </c>
      <c r="O182">
        <v>13.88649</v>
      </c>
      <c r="P182">
        <v>429706</v>
      </c>
      <c r="Q182">
        <v>6153862</v>
      </c>
      <c r="R182" t="s">
        <v>490</v>
      </c>
      <c r="S182">
        <v>311</v>
      </c>
      <c r="T182" t="s">
        <v>515</v>
      </c>
      <c r="U182" t="s">
        <v>516</v>
      </c>
      <c r="V182" t="s">
        <v>493</v>
      </c>
      <c r="W182" t="s">
        <v>494</v>
      </c>
      <c r="X182" t="s">
        <v>494</v>
      </c>
      <c r="Y182" t="s">
        <v>665</v>
      </c>
      <c r="Z182">
        <v>1</v>
      </c>
      <c r="AA182">
        <v>1</v>
      </c>
      <c r="AE182" t="s">
        <v>42</v>
      </c>
      <c r="AF182" t="s">
        <v>496</v>
      </c>
      <c r="AG182" t="b">
        <v>0</v>
      </c>
      <c r="AH182" t="b">
        <v>0</v>
      </c>
      <c r="AI182" t="b">
        <v>0</v>
      </c>
      <c r="AK182" t="s">
        <v>497</v>
      </c>
      <c r="AL182" t="b">
        <v>0</v>
      </c>
      <c r="AM182" t="b">
        <v>0</v>
      </c>
    </row>
    <row r="183" spans="1:39">
      <c r="A183" t="s">
        <v>814</v>
      </c>
      <c r="B183" t="b">
        <v>1</v>
      </c>
      <c r="C183">
        <v>102623</v>
      </c>
      <c r="D183" t="s">
        <v>53</v>
      </c>
      <c r="E183" t="s">
        <v>54</v>
      </c>
      <c r="F183" t="s">
        <v>488</v>
      </c>
      <c r="G183" t="s">
        <v>489</v>
      </c>
      <c r="H183" t="s">
        <v>46</v>
      </c>
      <c r="I183">
        <v>1</v>
      </c>
      <c r="J183" s="4">
        <v>45018</v>
      </c>
      <c r="K183" s="4">
        <v>45018</v>
      </c>
      <c r="N183">
        <v>55.556199999999997</v>
      </c>
      <c r="O183">
        <v>13.93919</v>
      </c>
      <c r="P183">
        <v>433085</v>
      </c>
      <c r="Q183">
        <v>6157198</v>
      </c>
      <c r="R183" t="s">
        <v>490</v>
      </c>
      <c r="S183">
        <v>25</v>
      </c>
      <c r="T183" t="s">
        <v>554</v>
      </c>
      <c r="U183" t="s">
        <v>508</v>
      </c>
      <c r="V183" t="s">
        <v>504</v>
      </c>
      <c r="W183" t="s">
        <v>494</v>
      </c>
      <c r="X183" t="s">
        <v>494</v>
      </c>
      <c r="Y183" t="s">
        <v>555</v>
      </c>
      <c r="Z183">
        <v>1</v>
      </c>
      <c r="AA183">
        <v>1</v>
      </c>
      <c r="AE183" t="s">
        <v>42</v>
      </c>
      <c r="AF183" t="s">
        <v>496</v>
      </c>
      <c r="AG183" t="b">
        <v>0</v>
      </c>
      <c r="AH183" t="b">
        <v>0</v>
      </c>
      <c r="AI183" t="b">
        <v>0</v>
      </c>
      <c r="AK183" t="s">
        <v>497</v>
      </c>
      <c r="AL183" t="b">
        <v>0</v>
      </c>
      <c r="AM183" t="b">
        <v>0</v>
      </c>
    </row>
    <row r="184" spans="1:39">
      <c r="A184" t="s">
        <v>815</v>
      </c>
      <c r="B184" t="b">
        <v>1</v>
      </c>
      <c r="C184">
        <v>100124</v>
      </c>
      <c r="D184" t="s">
        <v>352</v>
      </c>
      <c r="E184" t="s">
        <v>353</v>
      </c>
      <c r="F184" t="s">
        <v>488</v>
      </c>
      <c r="G184" t="s">
        <v>489</v>
      </c>
      <c r="H184" t="s">
        <v>81</v>
      </c>
      <c r="I184">
        <v>1</v>
      </c>
      <c r="J184" s="4">
        <v>44775</v>
      </c>
      <c r="K184" s="4">
        <v>44775</v>
      </c>
      <c r="L184" s="5">
        <v>0.75</v>
      </c>
      <c r="M184" s="5">
        <v>0.80208333333333337</v>
      </c>
      <c r="N184">
        <v>55.548569999999998</v>
      </c>
      <c r="O184">
        <v>13.97132</v>
      </c>
      <c r="P184">
        <v>435099</v>
      </c>
      <c r="Q184">
        <v>6156319</v>
      </c>
      <c r="R184" t="s">
        <v>490</v>
      </c>
      <c r="S184">
        <v>200</v>
      </c>
      <c r="T184" t="s">
        <v>658</v>
      </c>
      <c r="U184" t="s">
        <v>508</v>
      </c>
      <c r="V184" t="s">
        <v>504</v>
      </c>
      <c r="W184" t="s">
        <v>494</v>
      </c>
      <c r="X184" t="s">
        <v>494</v>
      </c>
      <c r="Y184" t="s">
        <v>536</v>
      </c>
      <c r="Z184">
        <v>4</v>
      </c>
      <c r="AA184">
        <v>4</v>
      </c>
      <c r="AE184" t="s">
        <v>62</v>
      </c>
      <c r="AF184" t="s">
        <v>496</v>
      </c>
      <c r="AG184" t="b">
        <v>0</v>
      </c>
      <c r="AH184" t="b">
        <v>0</v>
      </c>
      <c r="AI184" t="b">
        <v>0</v>
      </c>
      <c r="AK184" t="s">
        <v>497</v>
      </c>
      <c r="AL184" t="b">
        <v>0</v>
      </c>
      <c r="AM184" t="b">
        <v>0</v>
      </c>
    </row>
    <row r="185" spans="1:39">
      <c r="A185" t="s">
        <v>816</v>
      </c>
      <c r="B185" t="b">
        <v>1</v>
      </c>
      <c r="C185">
        <v>103020</v>
      </c>
      <c r="D185" t="s">
        <v>328</v>
      </c>
      <c r="E185" t="s">
        <v>329</v>
      </c>
      <c r="F185" t="s">
        <v>488</v>
      </c>
      <c r="G185" t="s">
        <v>489</v>
      </c>
      <c r="H185" t="s">
        <v>41</v>
      </c>
      <c r="I185">
        <v>1</v>
      </c>
      <c r="J185" s="4">
        <v>45393</v>
      </c>
      <c r="K185" s="4">
        <v>45393</v>
      </c>
      <c r="L185" s="5">
        <v>0.63194444444444442</v>
      </c>
      <c r="M185" s="5">
        <v>0.63194444444444442</v>
      </c>
      <c r="N185">
        <v>55.525750000000002</v>
      </c>
      <c r="O185">
        <v>13.88649</v>
      </c>
      <c r="P185">
        <v>429706</v>
      </c>
      <c r="Q185">
        <v>6153862</v>
      </c>
      <c r="R185" t="s">
        <v>490</v>
      </c>
      <c r="S185">
        <v>311</v>
      </c>
      <c r="T185" t="s">
        <v>515</v>
      </c>
      <c r="U185" t="s">
        <v>516</v>
      </c>
      <c r="V185" t="s">
        <v>493</v>
      </c>
      <c r="W185" t="s">
        <v>494</v>
      </c>
      <c r="X185" t="s">
        <v>494</v>
      </c>
      <c r="Y185" t="s">
        <v>817</v>
      </c>
      <c r="Z185">
        <v>1</v>
      </c>
      <c r="AA185">
        <v>1</v>
      </c>
      <c r="AE185" t="s">
        <v>42</v>
      </c>
      <c r="AF185" t="s">
        <v>496</v>
      </c>
      <c r="AG185" t="b">
        <v>0</v>
      </c>
      <c r="AH185" t="b">
        <v>0</v>
      </c>
      <c r="AI185" t="b">
        <v>0</v>
      </c>
      <c r="AK185" t="s">
        <v>497</v>
      </c>
      <c r="AL185" t="b">
        <v>0</v>
      </c>
      <c r="AM185" t="b">
        <v>0</v>
      </c>
    </row>
    <row r="186" spans="1:39">
      <c r="A186" t="s">
        <v>818</v>
      </c>
      <c r="B186" t="b">
        <v>1</v>
      </c>
      <c r="C186">
        <v>103055</v>
      </c>
      <c r="D186" t="s">
        <v>413</v>
      </c>
      <c r="E186" t="s">
        <v>414</v>
      </c>
      <c r="F186" t="s">
        <v>488</v>
      </c>
      <c r="G186" t="s">
        <v>489</v>
      </c>
      <c r="H186" t="s">
        <v>41</v>
      </c>
      <c r="I186">
        <v>1</v>
      </c>
      <c r="J186" s="4">
        <v>45413</v>
      </c>
      <c r="K186" s="4">
        <v>45413</v>
      </c>
      <c r="L186" s="5">
        <v>0.38541666666666669</v>
      </c>
      <c r="M186" s="5">
        <v>0.46527777777777779</v>
      </c>
      <c r="N186">
        <v>55.525750000000002</v>
      </c>
      <c r="O186">
        <v>13.88649</v>
      </c>
      <c r="P186">
        <v>429706</v>
      </c>
      <c r="Q186">
        <v>6153862</v>
      </c>
      <c r="R186" t="s">
        <v>490</v>
      </c>
      <c r="S186">
        <v>311</v>
      </c>
      <c r="T186" t="s">
        <v>515</v>
      </c>
      <c r="U186" t="s">
        <v>516</v>
      </c>
      <c r="V186" t="s">
        <v>493</v>
      </c>
      <c r="W186" t="s">
        <v>494</v>
      </c>
      <c r="X186" t="s">
        <v>494</v>
      </c>
      <c r="Y186" t="s">
        <v>724</v>
      </c>
      <c r="Z186">
        <v>1</v>
      </c>
      <c r="AA186">
        <v>1</v>
      </c>
      <c r="AE186" t="s">
        <v>42</v>
      </c>
      <c r="AF186" t="s">
        <v>496</v>
      </c>
      <c r="AG186" t="b">
        <v>0</v>
      </c>
      <c r="AH186" t="b">
        <v>0</v>
      </c>
      <c r="AI186" t="b">
        <v>0</v>
      </c>
      <c r="AK186" t="s">
        <v>497</v>
      </c>
      <c r="AL186" t="b">
        <v>0</v>
      </c>
      <c r="AM186" t="b">
        <v>0</v>
      </c>
    </row>
    <row r="187" spans="1:39">
      <c r="A187" t="s">
        <v>819</v>
      </c>
      <c r="B187" t="b">
        <v>1</v>
      </c>
      <c r="C187">
        <v>102104</v>
      </c>
      <c r="D187" t="s">
        <v>126</v>
      </c>
      <c r="E187" t="s">
        <v>127</v>
      </c>
      <c r="F187" t="s">
        <v>488</v>
      </c>
      <c r="G187" t="s">
        <v>489</v>
      </c>
      <c r="H187" t="s">
        <v>46</v>
      </c>
      <c r="I187">
        <v>1</v>
      </c>
      <c r="J187" s="4">
        <v>45548</v>
      </c>
      <c r="K187" s="4">
        <v>45548</v>
      </c>
      <c r="L187" s="5">
        <v>0.35416666666666669</v>
      </c>
      <c r="M187" s="5">
        <v>0.35416666666666669</v>
      </c>
      <c r="N187">
        <v>55.54081</v>
      </c>
      <c r="O187">
        <v>13.95609</v>
      </c>
      <c r="P187">
        <v>434125</v>
      </c>
      <c r="Q187">
        <v>6155470</v>
      </c>
      <c r="R187" t="s">
        <v>490</v>
      </c>
      <c r="S187">
        <v>1500</v>
      </c>
      <c r="T187" t="s">
        <v>507</v>
      </c>
      <c r="U187" t="s">
        <v>508</v>
      </c>
      <c r="V187" t="s">
        <v>504</v>
      </c>
      <c r="W187" t="s">
        <v>494</v>
      </c>
      <c r="X187" t="s">
        <v>494</v>
      </c>
      <c r="Y187" t="s">
        <v>572</v>
      </c>
      <c r="Z187">
        <v>4</v>
      </c>
      <c r="AA187">
        <v>4</v>
      </c>
      <c r="AC187" t="s">
        <v>512</v>
      </c>
      <c r="AE187" t="s">
        <v>431</v>
      </c>
      <c r="AF187" t="s">
        <v>496</v>
      </c>
      <c r="AG187" t="b">
        <v>0</v>
      </c>
      <c r="AH187" t="b">
        <v>0</v>
      </c>
      <c r="AI187" t="b">
        <v>0</v>
      </c>
      <c r="AK187" t="s">
        <v>497</v>
      </c>
      <c r="AL187" t="b">
        <v>0</v>
      </c>
      <c r="AM187" t="b">
        <v>0</v>
      </c>
    </row>
    <row r="188" spans="1:39">
      <c r="A188" t="s">
        <v>820</v>
      </c>
      <c r="B188" t="b">
        <v>1</v>
      </c>
      <c r="C188">
        <v>100028</v>
      </c>
      <c r="D188" t="s">
        <v>60</v>
      </c>
      <c r="E188" t="s">
        <v>61</v>
      </c>
      <c r="F188" t="s">
        <v>488</v>
      </c>
      <c r="G188" t="s">
        <v>489</v>
      </c>
      <c r="H188" t="s">
        <v>46</v>
      </c>
      <c r="I188">
        <v>1</v>
      </c>
      <c r="J188" s="4">
        <v>45765</v>
      </c>
      <c r="K188" s="4">
        <v>45765</v>
      </c>
      <c r="L188" s="5">
        <v>0.51388888888888884</v>
      </c>
      <c r="M188" s="5">
        <v>0.59722222222222221</v>
      </c>
      <c r="N188">
        <v>55.515189999999997</v>
      </c>
      <c r="O188">
        <v>13.899330000000001</v>
      </c>
      <c r="P188">
        <v>430498</v>
      </c>
      <c r="Q188">
        <v>6152673</v>
      </c>
      <c r="R188" t="s">
        <v>490</v>
      </c>
      <c r="S188">
        <v>125</v>
      </c>
      <c r="T188" t="s">
        <v>552</v>
      </c>
      <c r="U188" t="s">
        <v>525</v>
      </c>
      <c r="V188" t="s">
        <v>504</v>
      </c>
      <c r="W188" t="s">
        <v>494</v>
      </c>
      <c r="X188" t="s">
        <v>494</v>
      </c>
      <c r="Y188" t="s">
        <v>536</v>
      </c>
      <c r="Z188">
        <v>2</v>
      </c>
      <c r="AA188">
        <v>2</v>
      </c>
      <c r="AD188" t="s">
        <v>527</v>
      </c>
      <c r="AE188" t="s">
        <v>538</v>
      </c>
      <c r="AF188" t="s">
        <v>496</v>
      </c>
      <c r="AG188" t="b">
        <v>0</v>
      </c>
      <c r="AH188" t="b">
        <v>0</v>
      </c>
      <c r="AI188" t="b">
        <v>0</v>
      </c>
      <c r="AK188" t="s">
        <v>497</v>
      </c>
      <c r="AL188" t="b">
        <v>0</v>
      </c>
      <c r="AM188" t="b">
        <v>0</v>
      </c>
    </row>
    <row r="189" spans="1:39">
      <c r="A189" t="s">
        <v>821</v>
      </c>
      <c r="B189" t="b">
        <v>1</v>
      </c>
      <c r="C189">
        <v>102954</v>
      </c>
      <c r="D189" t="s">
        <v>170</v>
      </c>
      <c r="E189" t="s">
        <v>171</v>
      </c>
      <c r="F189" t="s">
        <v>488</v>
      </c>
      <c r="G189" t="s">
        <v>489</v>
      </c>
      <c r="H189" t="s">
        <v>41</v>
      </c>
      <c r="I189">
        <v>1</v>
      </c>
      <c r="J189" s="4">
        <v>44753</v>
      </c>
      <c r="K189" s="4">
        <v>44753</v>
      </c>
      <c r="L189" s="5">
        <v>0.35347222222222224</v>
      </c>
      <c r="M189" s="5">
        <v>0.40138888888888891</v>
      </c>
      <c r="N189">
        <v>55.530740000000002</v>
      </c>
      <c r="O189">
        <v>13.879630000000001</v>
      </c>
      <c r="P189">
        <v>429282</v>
      </c>
      <c r="Q189">
        <v>6154424</v>
      </c>
      <c r="R189" t="s">
        <v>490</v>
      </c>
      <c r="S189">
        <v>310</v>
      </c>
      <c r="T189" t="s">
        <v>499</v>
      </c>
      <c r="U189" t="s">
        <v>492</v>
      </c>
      <c r="V189" t="s">
        <v>493</v>
      </c>
      <c r="W189" t="s">
        <v>494</v>
      </c>
      <c r="X189" t="s">
        <v>494</v>
      </c>
      <c r="Y189" t="s">
        <v>822</v>
      </c>
      <c r="Z189">
        <v>1</v>
      </c>
      <c r="AA189">
        <v>1</v>
      </c>
      <c r="AE189" t="s">
        <v>42</v>
      </c>
      <c r="AF189" t="s">
        <v>496</v>
      </c>
      <c r="AG189" t="b">
        <v>0</v>
      </c>
      <c r="AH189" t="b">
        <v>0</v>
      </c>
      <c r="AI189" t="b">
        <v>0</v>
      </c>
      <c r="AK189" t="s">
        <v>497</v>
      </c>
      <c r="AL189" t="b">
        <v>0</v>
      </c>
      <c r="AM189" t="b">
        <v>0</v>
      </c>
    </row>
    <row r="190" spans="1:39">
      <c r="A190" t="s">
        <v>823</v>
      </c>
      <c r="B190" t="b">
        <v>1</v>
      </c>
      <c r="C190">
        <v>103037</v>
      </c>
      <c r="D190" t="s">
        <v>368</v>
      </c>
      <c r="E190" t="s">
        <v>369</v>
      </c>
      <c r="F190" t="s">
        <v>488</v>
      </c>
      <c r="G190" t="s">
        <v>489</v>
      </c>
      <c r="H190" t="s">
        <v>85</v>
      </c>
      <c r="I190">
        <v>1</v>
      </c>
      <c r="J190" s="4">
        <v>42141</v>
      </c>
      <c r="K190" s="4">
        <v>42141</v>
      </c>
      <c r="N190">
        <v>55.558250000000001</v>
      </c>
      <c r="O190">
        <v>13.85868</v>
      </c>
      <c r="P190">
        <v>428010</v>
      </c>
      <c r="Q190">
        <v>6157507</v>
      </c>
      <c r="R190" t="s">
        <v>490</v>
      </c>
      <c r="S190">
        <v>100</v>
      </c>
      <c r="T190" t="s">
        <v>531</v>
      </c>
      <c r="U190" t="s">
        <v>532</v>
      </c>
      <c r="V190" t="s">
        <v>504</v>
      </c>
      <c r="W190" t="s">
        <v>494</v>
      </c>
      <c r="X190" t="s">
        <v>494</v>
      </c>
      <c r="Y190" t="s">
        <v>495</v>
      </c>
      <c r="Z190">
        <v>8</v>
      </c>
      <c r="AA190">
        <v>8</v>
      </c>
      <c r="AC190" t="s">
        <v>512</v>
      </c>
      <c r="AD190" t="s">
        <v>527</v>
      </c>
      <c r="AE190" t="s">
        <v>431</v>
      </c>
      <c r="AF190" t="s">
        <v>496</v>
      </c>
      <c r="AG190" t="b">
        <v>0</v>
      </c>
      <c r="AH190" t="b">
        <v>0</v>
      </c>
      <c r="AI190" t="b">
        <v>0</v>
      </c>
      <c r="AK190" t="s">
        <v>497</v>
      </c>
      <c r="AL190" t="b">
        <v>0</v>
      </c>
      <c r="AM190" t="b">
        <v>0</v>
      </c>
    </row>
    <row r="191" spans="1:39">
      <c r="A191" t="s">
        <v>824</v>
      </c>
      <c r="B191" t="b">
        <v>1</v>
      </c>
      <c r="C191">
        <v>102987</v>
      </c>
      <c r="D191" t="s">
        <v>388</v>
      </c>
      <c r="E191" t="s">
        <v>389</v>
      </c>
      <c r="F191" t="s">
        <v>488</v>
      </c>
      <c r="G191" t="s">
        <v>489</v>
      </c>
      <c r="H191" t="s">
        <v>41</v>
      </c>
      <c r="I191">
        <v>1</v>
      </c>
      <c r="J191" s="4">
        <v>45022</v>
      </c>
      <c r="K191" s="4">
        <v>45022</v>
      </c>
      <c r="L191" s="5">
        <v>0.52083333333333337</v>
      </c>
      <c r="M191" s="5">
        <v>0.52083333333333337</v>
      </c>
      <c r="N191">
        <v>55.551600000000001</v>
      </c>
      <c r="O191">
        <v>13.955550000000001</v>
      </c>
      <c r="P191">
        <v>434109</v>
      </c>
      <c r="Q191">
        <v>6156670</v>
      </c>
      <c r="R191" t="s">
        <v>490</v>
      </c>
      <c r="S191">
        <v>250</v>
      </c>
      <c r="T191" t="s">
        <v>765</v>
      </c>
      <c r="U191" t="s">
        <v>508</v>
      </c>
      <c r="V191" t="s">
        <v>504</v>
      </c>
      <c r="W191" t="s">
        <v>494</v>
      </c>
      <c r="X191" t="s">
        <v>494</v>
      </c>
      <c r="Y191" t="s">
        <v>536</v>
      </c>
      <c r="Z191">
        <v>1</v>
      </c>
      <c r="AA191">
        <v>1</v>
      </c>
      <c r="AE191" t="s">
        <v>538</v>
      </c>
      <c r="AF191" t="s">
        <v>496</v>
      </c>
      <c r="AG191" t="b">
        <v>0</v>
      </c>
      <c r="AH191" t="b">
        <v>0</v>
      </c>
      <c r="AI191" t="b">
        <v>0</v>
      </c>
      <c r="AK191" t="s">
        <v>497</v>
      </c>
      <c r="AL191" t="b">
        <v>0</v>
      </c>
      <c r="AM191" t="b">
        <v>0</v>
      </c>
    </row>
    <row r="192" spans="1:39">
      <c r="A192" t="s">
        <v>825</v>
      </c>
      <c r="B192" t="b">
        <v>1</v>
      </c>
      <c r="C192">
        <v>102626</v>
      </c>
      <c r="D192" t="s">
        <v>318</v>
      </c>
      <c r="E192" t="s">
        <v>319</v>
      </c>
      <c r="F192" t="s">
        <v>488</v>
      </c>
      <c r="G192" t="s">
        <v>489</v>
      </c>
      <c r="H192" t="s">
        <v>46</v>
      </c>
      <c r="I192">
        <v>1</v>
      </c>
      <c r="J192" s="4">
        <v>39303</v>
      </c>
      <c r="K192" s="4">
        <v>39303</v>
      </c>
      <c r="L192" s="5">
        <v>0</v>
      </c>
      <c r="M192" s="5">
        <v>0</v>
      </c>
      <c r="N192">
        <v>55.527650000000001</v>
      </c>
      <c r="O192">
        <v>13.900119999999999</v>
      </c>
      <c r="P192">
        <v>430570</v>
      </c>
      <c r="Q192">
        <v>6154060</v>
      </c>
      <c r="R192" t="s">
        <v>490</v>
      </c>
      <c r="S192">
        <v>250</v>
      </c>
      <c r="T192" t="s">
        <v>578</v>
      </c>
      <c r="U192" t="s">
        <v>525</v>
      </c>
      <c r="V192" t="s">
        <v>504</v>
      </c>
      <c r="W192" t="s">
        <v>494</v>
      </c>
      <c r="X192" t="s">
        <v>494</v>
      </c>
      <c r="Y192" t="s">
        <v>826</v>
      </c>
      <c r="Z192">
        <v>1</v>
      </c>
      <c r="AA192">
        <v>1</v>
      </c>
      <c r="AC192" t="s">
        <v>751</v>
      </c>
      <c r="AE192" t="s">
        <v>43</v>
      </c>
      <c r="AF192" t="s">
        <v>496</v>
      </c>
      <c r="AG192" t="b">
        <v>0</v>
      </c>
      <c r="AH192" t="b">
        <v>0</v>
      </c>
      <c r="AI192" t="b">
        <v>0</v>
      </c>
      <c r="AK192" t="s">
        <v>497</v>
      </c>
      <c r="AL192" t="b">
        <v>0</v>
      </c>
      <c r="AM192" t="b">
        <v>0</v>
      </c>
    </row>
    <row r="193" spans="1:39">
      <c r="A193" t="s">
        <v>827</v>
      </c>
      <c r="B193" t="b">
        <v>1</v>
      </c>
      <c r="C193">
        <v>103055</v>
      </c>
      <c r="D193" t="s">
        <v>413</v>
      </c>
      <c r="E193" t="s">
        <v>414</v>
      </c>
      <c r="F193" t="s">
        <v>488</v>
      </c>
      <c r="G193" t="s">
        <v>489</v>
      </c>
      <c r="H193" t="s">
        <v>41</v>
      </c>
      <c r="I193">
        <v>1</v>
      </c>
      <c r="J193" s="4">
        <v>39604</v>
      </c>
      <c r="K193" s="4">
        <v>39604</v>
      </c>
      <c r="L193" s="5">
        <v>0.68055555555555558</v>
      </c>
      <c r="M193" s="5">
        <v>0.74305555555555558</v>
      </c>
      <c r="N193">
        <v>55.527650000000001</v>
      </c>
      <c r="O193">
        <v>13.900119999999999</v>
      </c>
      <c r="P193">
        <v>430570</v>
      </c>
      <c r="Q193">
        <v>6154060</v>
      </c>
      <c r="R193" t="s">
        <v>490</v>
      </c>
      <c r="S193">
        <v>250</v>
      </c>
      <c r="T193" t="s">
        <v>578</v>
      </c>
      <c r="U193" t="s">
        <v>525</v>
      </c>
      <c r="V193" t="s">
        <v>504</v>
      </c>
      <c r="W193" t="s">
        <v>494</v>
      </c>
      <c r="X193" t="s">
        <v>494</v>
      </c>
      <c r="Y193" t="s">
        <v>828</v>
      </c>
      <c r="Z193">
        <v>1</v>
      </c>
      <c r="AA193">
        <v>1</v>
      </c>
      <c r="AE193" t="s">
        <v>42</v>
      </c>
      <c r="AF193" t="s">
        <v>496</v>
      </c>
      <c r="AG193" t="b">
        <v>0</v>
      </c>
      <c r="AH193" t="b">
        <v>0</v>
      </c>
      <c r="AI193" t="b">
        <v>0</v>
      </c>
      <c r="AK193" t="s">
        <v>497</v>
      </c>
      <c r="AL193" t="b">
        <v>0</v>
      </c>
      <c r="AM193" t="b">
        <v>0</v>
      </c>
    </row>
    <row r="194" spans="1:39">
      <c r="A194" t="s">
        <v>829</v>
      </c>
      <c r="B194" t="b">
        <v>1</v>
      </c>
      <c r="C194">
        <v>100049</v>
      </c>
      <c r="D194" t="s">
        <v>295</v>
      </c>
      <c r="E194" t="s">
        <v>296</v>
      </c>
      <c r="F194" t="s">
        <v>488</v>
      </c>
      <c r="G194" t="s">
        <v>489</v>
      </c>
      <c r="H194" t="s">
        <v>46</v>
      </c>
      <c r="I194">
        <v>1</v>
      </c>
      <c r="J194" s="4">
        <v>39474</v>
      </c>
      <c r="K194" s="4">
        <v>39474</v>
      </c>
      <c r="L194" s="5">
        <v>0</v>
      </c>
      <c r="M194" s="5">
        <v>0</v>
      </c>
      <c r="N194">
        <v>55.547759999999997</v>
      </c>
      <c r="O194">
        <v>13.86754</v>
      </c>
      <c r="P194">
        <v>428550</v>
      </c>
      <c r="Q194">
        <v>6156331</v>
      </c>
      <c r="R194" t="s">
        <v>490</v>
      </c>
      <c r="S194">
        <v>627</v>
      </c>
      <c r="T194" t="s">
        <v>541</v>
      </c>
      <c r="U194" t="s">
        <v>525</v>
      </c>
      <c r="V194" t="s">
        <v>504</v>
      </c>
      <c r="W194" t="s">
        <v>494</v>
      </c>
      <c r="X194" t="s">
        <v>494</v>
      </c>
      <c r="Y194" t="s">
        <v>830</v>
      </c>
      <c r="Z194">
        <v>2</v>
      </c>
      <c r="AA194">
        <v>2</v>
      </c>
      <c r="AE194" t="s">
        <v>42</v>
      </c>
      <c r="AF194" t="s">
        <v>496</v>
      </c>
      <c r="AG194" t="b">
        <v>0</v>
      </c>
      <c r="AH194" t="b">
        <v>0</v>
      </c>
      <c r="AI194" t="b">
        <v>0</v>
      </c>
      <c r="AK194" t="s">
        <v>497</v>
      </c>
      <c r="AL194" t="b">
        <v>0</v>
      </c>
      <c r="AM194" t="b">
        <v>0</v>
      </c>
    </row>
    <row r="195" spans="1:39">
      <c r="A195" t="s">
        <v>831</v>
      </c>
      <c r="B195" t="b">
        <v>1</v>
      </c>
      <c r="C195">
        <v>100048</v>
      </c>
      <c r="D195" t="s">
        <v>304</v>
      </c>
      <c r="E195" t="s">
        <v>305</v>
      </c>
      <c r="F195" t="s">
        <v>488</v>
      </c>
      <c r="G195" t="s">
        <v>489</v>
      </c>
      <c r="H195" t="s">
        <v>41</v>
      </c>
      <c r="I195">
        <v>1</v>
      </c>
      <c r="J195" s="4">
        <v>39281</v>
      </c>
      <c r="K195" s="4">
        <v>39281</v>
      </c>
      <c r="L195" s="5">
        <v>0.83333333333333337</v>
      </c>
      <c r="M195" s="5">
        <v>0.83333333333333337</v>
      </c>
      <c r="N195">
        <v>55.525750000000002</v>
      </c>
      <c r="O195">
        <v>13.88649</v>
      </c>
      <c r="P195">
        <v>429706</v>
      </c>
      <c r="Q195">
        <v>6153862</v>
      </c>
      <c r="R195" t="s">
        <v>490</v>
      </c>
      <c r="S195">
        <v>311</v>
      </c>
      <c r="T195" t="s">
        <v>515</v>
      </c>
      <c r="U195" t="s">
        <v>516</v>
      </c>
      <c r="V195" t="s">
        <v>493</v>
      </c>
      <c r="W195" t="s">
        <v>494</v>
      </c>
      <c r="X195" t="s">
        <v>494</v>
      </c>
      <c r="Y195" t="s">
        <v>633</v>
      </c>
      <c r="Z195">
        <v>1</v>
      </c>
      <c r="AA195">
        <v>1</v>
      </c>
      <c r="AE195" t="s">
        <v>42</v>
      </c>
      <c r="AF195" t="s">
        <v>496</v>
      </c>
      <c r="AG195" t="b">
        <v>0</v>
      </c>
      <c r="AH195" t="b">
        <v>0</v>
      </c>
      <c r="AI195" t="b">
        <v>0</v>
      </c>
      <c r="AK195" t="s">
        <v>497</v>
      </c>
      <c r="AL195" t="b">
        <v>0</v>
      </c>
      <c r="AM195" t="b">
        <v>0</v>
      </c>
    </row>
    <row r="196" spans="1:39">
      <c r="A196" t="s">
        <v>832</v>
      </c>
      <c r="B196" t="b">
        <v>1</v>
      </c>
      <c r="C196">
        <v>102993</v>
      </c>
      <c r="D196" t="s">
        <v>384</v>
      </c>
      <c r="E196" t="s">
        <v>385</v>
      </c>
      <c r="F196" t="s">
        <v>488</v>
      </c>
      <c r="G196" t="s">
        <v>489</v>
      </c>
      <c r="H196" t="s">
        <v>85</v>
      </c>
      <c r="I196">
        <v>1</v>
      </c>
      <c r="J196" s="4">
        <v>41047</v>
      </c>
      <c r="K196" s="4">
        <v>41047</v>
      </c>
      <c r="L196" s="5">
        <v>0</v>
      </c>
      <c r="M196" s="5">
        <v>0</v>
      </c>
      <c r="N196">
        <v>55.54081</v>
      </c>
      <c r="O196">
        <v>13.95609</v>
      </c>
      <c r="P196">
        <v>434125</v>
      </c>
      <c r="Q196">
        <v>6155470</v>
      </c>
      <c r="R196" t="s">
        <v>490</v>
      </c>
      <c r="S196">
        <v>1500</v>
      </c>
      <c r="T196" t="s">
        <v>507</v>
      </c>
      <c r="U196" t="s">
        <v>508</v>
      </c>
      <c r="V196" t="s">
        <v>504</v>
      </c>
      <c r="W196" t="s">
        <v>494</v>
      </c>
      <c r="X196" t="s">
        <v>494</v>
      </c>
      <c r="Y196" t="s">
        <v>579</v>
      </c>
      <c r="Z196">
        <v>1</v>
      </c>
      <c r="AA196">
        <v>1</v>
      </c>
      <c r="AC196" t="s">
        <v>512</v>
      </c>
      <c r="AD196" t="s">
        <v>510</v>
      </c>
      <c r="AE196" t="s">
        <v>42</v>
      </c>
      <c r="AF196" t="s">
        <v>496</v>
      </c>
      <c r="AG196" t="b">
        <v>0</v>
      </c>
      <c r="AH196" t="b">
        <v>0</v>
      </c>
      <c r="AI196" t="b">
        <v>0</v>
      </c>
      <c r="AK196" t="s">
        <v>497</v>
      </c>
      <c r="AL196" t="b">
        <v>0</v>
      </c>
      <c r="AM196" t="b">
        <v>0</v>
      </c>
    </row>
    <row r="197" spans="1:39">
      <c r="A197" t="s">
        <v>833</v>
      </c>
      <c r="B197" t="b">
        <v>1</v>
      </c>
      <c r="C197">
        <v>102993</v>
      </c>
      <c r="D197" t="s">
        <v>384</v>
      </c>
      <c r="E197" t="s">
        <v>385</v>
      </c>
      <c r="F197" t="s">
        <v>488</v>
      </c>
      <c r="G197" t="s">
        <v>489</v>
      </c>
      <c r="H197" t="s">
        <v>85</v>
      </c>
      <c r="I197">
        <v>1</v>
      </c>
      <c r="J197" s="4">
        <v>40302</v>
      </c>
      <c r="K197" s="4">
        <v>40302</v>
      </c>
      <c r="L197" s="5">
        <v>0.52083333333333337</v>
      </c>
      <c r="M197" s="5">
        <v>0.54166666666666663</v>
      </c>
      <c r="N197">
        <v>55.54081</v>
      </c>
      <c r="O197">
        <v>13.95609</v>
      </c>
      <c r="P197">
        <v>434125</v>
      </c>
      <c r="Q197">
        <v>6155470</v>
      </c>
      <c r="R197" t="s">
        <v>490</v>
      </c>
      <c r="S197">
        <v>1500</v>
      </c>
      <c r="T197" t="s">
        <v>507</v>
      </c>
      <c r="U197" t="s">
        <v>508</v>
      </c>
      <c r="V197" t="s">
        <v>504</v>
      </c>
      <c r="W197" t="s">
        <v>494</v>
      </c>
      <c r="X197" t="s">
        <v>494</v>
      </c>
      <c r="Y197" t="s">
        <v>526</v>
      </c>
      <c r="Z197">
        <v>1</v>
      </c>
      <c r="AA197">
        <v>1</v>
      </c>
      <c r="AE197" t="s">
        <v>42</v>
      </c>
      <c r="AF197" t="s">
        <v>601</v>
      </c>
      <c r="AG197" t="b">
        <v>0</v>
      </c>
      <c r="AH197" t="b">
        <v>0</v>
      </c>
      <c r="AI197" t="b">
        <v>0</v>
      </c>
      <c r="AK197" t="s">
        <v>497</v>
      </c>
      <c r="AL197" t="b">
        <v>0</v>
      </c>
      <c r="AM197" t="b">
        <v>0</v>
      </c>
    </row>
    <row r="198" spans="1:39">
      <c r="A198" t="s">
        <v>834</v>
      </c>
      <c r="B198" t="b">
        <v>1</v>
      </c>
      <c r="C198">
        <v>102990</v>
      </c>
      <c r="D198" t="s">
        <v>39</v>
      </c>
      <c r="E198" t="s">
        <v>40</v>
      </c>
      <c r="F198" t="s">
        <v>488</v>
      </c>
      <c r="G198" t="s">
        <v>489</v>
      </c>
      <c r="H198" t="s">
        <v>41</v>
      </c>
      <c r="I198">
        <v>1</v>
      </c>
      <c r="J198" s="4">
        <v>40656</v>
      </c>
      <c r="K198" s="4">
        <v>40656</v>
      </c>
      <c r="L198" s="5">
        <v>0.51041666666666663</v>
      </c>
      <c r="M198" s="5">
        <v>0.53125</v>
      </c>
      <c r="N198">
        <v>55.530740000000002</v>
      </c>
      <c r="O198">
        <v>13.879630000000001</v>
      </c>
      <c r="P198">
        <v>429282</v>
      </c>
      <c r="Q198">
        <v>6154424</v>
      </c>
      <c r="R198" t="s">
        <v>490</v>
      </c>
      <c r="S198">
        <v>310</v>
      </c>
      <c r="T198" t="s">
        <v>499</v>
      </c>
      <c r="U198" t="s">
        <v>492</v>
      </c>
      <c r="V198" t="s">
        <v>493</v>
      </c>
      <c r="W198" t="s">
        <v>494</v>
      </c>
      <c r="X198" t="s">
        <v>494</v>
      </c>
      <c r="Y198" t="s">
        <v>835</v>
      </c>
      <c r="Z198">
        <v>1</v>
      </c>
      <c r="AA198">
        <v>1</v>
      </c>
      <c r="AE198" t="s">
        <v>42</v>
      </c>
      <c r="AF198" t="s">
        <v>496</v>
      </c>
      <c r="AG198" t="b">
        <v>0</v>
      </c>
      <c r="AH198" t="b">
        <v>0</v>
      </c>
      <c r="AI198" t="b">
        <v>0</v>
      </c>
      <c r="AK198" t="s">
        <v>497</v>
      </c>
      <c r="AL198" t="b">
        <v>0</v>
      </c>
      <c r="AM198" t="b">
        <v>0</v>
      </c>
    </row>
    <row r="199" spans="1:39">
      <c r="A199" t="s">
        <v>836</v>
      </c>
      <c r="B199" t="b">
        <v>1</v>
      </c>
      <c r="C199">
        <v>103012</v>
      </c>
      <c r="D199" t="s">
        <v>358</v>
      </c>
      <c r="E199" t="s">
        <v>359</v>
      </c>
      <c r="F199" t="s">
        <v>488</v>
      </c>
      <c r="G199" t="s">
        <v>489</v>
      </c>
      <c r="H199" t="s">
        <v>41</v>
      </c>
      <c r="I199">
        <v>1</v>
      </c>
      <c r="J199" s="4">
        <v>40698</v>
      </c>
      <c r="K199" s="4">
        <v>40698</v>
      </c>
      <c r="L199" s="5">
        <v>0.5</v>
      </c>
      <c r="M199" s="5">
        <v>0.53125</v>
      </c>
      <c r="N199">
        <v>55.530740000000002</v>
      </c>
      <c r="O199">
        <v>13.879630000000001</v>
      </c>
      <c r="P199">
        <v>429282</v>
      </c>
      <c r="Q199">
        <v>6154424</v>
      </c>
      <c r="R199" t="s">
        <v>490</v>
      </c>
      <c r="S199">
        <v>310</v>
      </c>
      <c r="T199" t="s">
        <v>499</v>
      </c>
      <c r="U199" t="s">
        <v>492</v>
      </c>
      <c r="V199" t="s">
        <v>493</v>
      </c>
      <c r="W199" t="s">
        <v>494</v>
      </c>
      <c r="X199" t="s">
        <v>494</v>
      </c>
      <c r="Y199" t="s">
        <v>837</v>
      </c>
      <c r="Z199">
        <v>1</v>
      </c>
      <c r="AA199">
        <v>1</v>
      </c>
      <c r="AE199" t="s">
        <v>42</v>
      </c>
      <c r="AF199" t="s">
        <v>496</v>
      </c>
      <c r="AG199" t="b">
        <v>0</v>
      </c>
      <c r="AH199" t="b">
        <v>0</v>
      </c>
      <c r="AI199" t="b">
        <v>0</v>
      </c>
      <c r="AK199" t="s">
        <v>497</v>
      </c>
      <c r="AL199" t="b">
        <v>0</v>
      </c>
      <c r="AM199" t="b">
        <v>0</v>
      </c>
    </row>
    <row r="200" spans="1:39">
      <c r="A200" t="s">
        <v>838</v>
      </c>
      <c r="B200" t="b">
        <v>1</v>
      </c>
      <c r="C200">
        <v>100048</v>
      </c>
      <c r="D200" t="s">
        <v>304</v>
      </c>
      <c r="E200" t="s">
        <v>305</v>
      </c>
      <c r="F200" t="s">
        <v>488</v>
      </c>
      <c r="G200" t="s">
        <v>489</v>
      </c>
      <c r="H200" t="s">
        <v>41</v>
      </c>
      <c r="I200">
        <v>1</v>
      </c>
      <c r="J200" s="4">
        <v>41746</v>
      </c>
      <c r="K200" s="4">
        <v>41746</v>
      </c>
      <c r="L200" s="5">
        <v>0.31944444444444442</v>
      </c>
      <c r="M200" s="5">
        <v>0.35069444444444442</v>
      </c>
      <c r="N200">
        <v>55.530740000000002</v>
      </c>
      <c r="O200">
        <v>13.879630000000001</v>
      </c>
      <c r="P200">
        <v>429282</v>
      </c>
      <c r="Q200">
        <v>6154424</v>
      </c>
      <c r="R200" t="s">
        <v>490</v>
      </c>
      <c r="S200">
        <v>310</v>
      </c>
      <c r="T200" t="s">
        <v>499</v>
      </c>
      <c r="U200" t="s">
        <v>492</v>
      </c>
      <c r="V200" t="s">
        <v>493</v>
      </c>
      <c r="W200" t="s">
        <v>494</v>
      </c>
      <c r="X200" t="s">
        <v>494</v>
      </c>
      <c r="Y200" t="s">
        <v>839</v>
      </c>
      <c r="Z200">
        <v>1</v>
      </c>
      <c r="AA200">
        <v>1</v>
      </c>
      <c r="AE200" t="s">
        <v>42</v>
      </c>
      <c r="AF200" t="s">
        <v>496</v>
      </c>
      <c r="AG200" t="b">
        <v>0</v>
      </c>
      <c r="AH200" t="b">
        <v>0</v>
      </c>
      <c r="AI200" t="b">
        <v>0</v>
      </c>
      <c r="AK200" t="s">
        <v>497</v>
      </c>
      <c r="AL200" t="b">
        <v>0</v>
      </c>
      <c r="AM200" t="b">
        <v>0</v>
      </c>
    </row>
    <row r="201" spans="1:39">
      <c r="A201" t="s">
        <v>840</v>
      </c>
      <c r="B201" t="b">
        <v>1</v>
      </c>
      <c r="C201">
        <v>102977</v>
      </c>
      <c r="D201" t="s">
        <v>47</v>
      </c>
      <c r="E201" t="s">
        <v>48</v>
      </c>
      <c r="F201" t="s">
        <v>488</v>
      </c>
      <c r="G201" t="s">
        <v>489</v>
      </c>
      <c r="H201" t="s">
        <v>46</v>
      </c>
      <c r="I201">
        <v>1</v>
      </c>
      <c r="J201" s="4">
        <v>41699</v>
      </c>
      <c r="K201" s="4">
        <v>41699</v>
      </c>
      <c r="L201" s="5">
        <v>0.42708333333333331</v>
      </c>
      <c r="M201" s="5">
        <v>0.44444444444444442</v>
      </c>
      <c r="N201">
        <v>55.525750000000002</v>
      </c>
      <c r="O201">
        <v>13.88649</v>
      </c>
      <c r="P201">
        <v>429706</v>
      </c>
      <c r="Q201">
        <v>6153862</v>
      </c>
      <c r="R201" t="s">
        <v>490</v>
      </c>
      <c r="S201">
        <v>311</v>
      </c>
      <c r="T201" t="s">
        <v>515</v>
      </c>
      <c r="U201" t="s">
        <v>516</v>
      </c>
      <c r="V201" t="s">
        <v>493</v>
      </c>
      <c r="W201" t="s">
        <v>494</v>
      </c>
      <c r="X201" t="s">
        <v>494</v>
      </c>
      <c r="Y201" t="s">
        <v>841</v>
      </c>
      <c r="Z201">
        <v>1</v>
      </c>
      <c r="AA201">
        <v>1</v>
      </c>
      <c r="AE201" t="s">
        <v>42</v>
      </c>
      <c r="AF201" t="s">
        <v>496</v>
      </c>
      <c r="AG201" t="b">
        <v>0</v>
      </c>
      <c r="AH201" t="b">
        <v>0</v>
      </c>
      <c r="AI201" t="b">
        <v>0</v>
      </c>
      <c r="AK201" t="s">
        <v>497</v>
      </c>
      <c r="AL201" t="b">
        <v>0</v>
      </c>
      <c r="AM201" t="b">
        <v>0</v>
      </c>
    </row>
    <row r="202" spans="1:39">
      <c r="A202" t="s">
        <v>842</v>
      </c>
      <c r="B202" t="b">
        <v>1</v>
      </c>
      <c r="C202">
        <v>103036</v>
      </c>
      <c r="D202" t="s">
        <v>324</v>
      </c>
      <c r="E202" t="s">
        <v>325</v>
      </c>
      <c r="F202" t="s">
        <v>488</v>
      </c>
      <c r="G202" t="s">
        <v>489</v>
      </c>
      <c r="H202" t="s">
        <v>46</v>
      </c>
      <c r="I202">
        <v>1</v>
      </c>
      <c r="J202" s="4">
        <v>42052</v>
      </c>
      <c r="K202" s="4">
        <v>42052</v>
      </c>
      <c r="L202" s="5">
        <v>0.66666666666666663</v>
      </c>
      <c r="M202" s="5">
        <v>0.66666666666666663</v>
      </c>
      <c r="N202">
        <v>55.525750000000002</v>
      </c>
      <c r="O202">
        <v>13.88649</v>
      </c>
      <c r="P202">
        <v>429706</v>
      </c>
      <c r="Q202">
        <v>6153862</v>
      </c>
      <c r="R202" t="s">
        <v>490</v>
      </c>
      <c r="S202">
        <v>311</v>
      </c>
      <c r="T202" t="s">
        <v>515</v>
      </c>
      <c r="U202" t="s">
        <v>516</v>
      </c>
      <c r="V202" t="s">
        <v>493</v>
      </c>
      <c r="W202" t="s">
        <v>494</v>
      </c>
      <c r="X202" t="s">
        <v>494</v>
      </c>
      <c r="Y202" t="s">
        <v>536</v>
      </c>
      <c r="Z202">
        <v>2</v>
      </c>
      <c r="AA202">
        <v>2</v>
      </c>
      <c r="AD202" t="s">
        <v>527</v>
      </c>
      <c r="AE202" t="s">
        <v>439</v>
      </c>
      <c r="AF202" t="s">
        <v>496</v>
      </c>
      <c r="AG202" t="b">
        <v>0</v>
      </c>
      <c r="AH202" t="b">
        <v>0</v>
      </c>
      <c r="AI202" t="b">
        <v>0</v>
      </c>
      <c r="AK202" t="s">
        <v>497</v>
      </c>
      <c r="AL202" t="b">
        <v>0</v>
      </c>
      <c r="AM202" t="b">
        <v>0</v>
      </c>
    </row>
    <row r="203" spans="1:39">
      <c r="A203" t="s">
        <v>843</v>
      </c>
      <c r="B203" t="b">
        <v>1</v>
      </c>
      <c r="C203">
        <v>102990</v>
      </c>
      <c r="D203" t="s">
        <v>39</v>
      </c>
      <c r="E203" t="s">
        <v>40</v>
      </c>
      <c r="F203" t="s">
        <v>488</v>
      </c>
      <c r="G203" t="s">
        <v>489</v>
      </c>
      <c r="H203" t="s">
        <v>41</v>
      </c>
      <c r="I203">
        <v>1</v>
      </c>
      <c r="J203" s="4">
        <v>42166</v>
      </c>
      <c r="K203" s="4">
        <v>42166</v>
      </c>
      <c r="N203">
        <v>55.527650000000001</v>
      </c>
      <c r="O203">
        <v>13.900119999999999</v>
      </c>
      <c r="P203">
        <v>430570</v>
      </c>
      <c r="Q203">
        <v>6154060</v>
      </c>
      <c r="R203" t="s">
        <v>490</v>
      </c>
      <c r="S203">
        <v>250</v>
      </c>
      <c r="T203" t="s">
        <v>578</v>
      </c>
      <c r="U203" t="s">
        <v>525</v>
      </c>
      <c r="V203" t="s">
        <v>504</v>
      </c>
      <c r="W203" t="s">
        <v>494</v>
      </c>
      <c r="X203" t="s">
        <v>494</v>
      </c>
      <c r="Y203" t="s">
        <v>844</v>
      </c>
      <c r="Z203">
        <v>1</v>
      </c>
      <c r="AA203">
        <v>1</v>
      </c>
      <c r="AE203" t="s">
        <v>42</v>
      </c>
      <c r="AF203" t="s">
        <v>496</v>
      </c>
      <c r="AG203" t="b">
        <v>0</v>
      </c>
      <c r="AH203" t="b">
        <v>0</v>
      </c>
      <c r="AI203" t="b">
        <v>0</v>
      </c>
      <c r="AK203" t="s">
        <v>497</v>
      </c>
      <c r="AL203" t="b">
        <v>0</v>
      </c>
      <c r="AM203" t="b">
        <v>0</v>
      </c>
    </row>
    <row r="204" spans="1:39">
      <c r="A204" t="s">
        <v>845</v>
      </c>
      <c r="B204" t="b">
        <v>1</v>
      </c>
      <c r="C204">
        <v>100049</v>
      </c>
      <c r="D204" t="s">
        <v>295</v>
      </c>
      <c r="E204" t="s">
        <v>296</v>
      </c>
      <c r="F204" t="s">
        <v>488</v>
      </c>
      <c r="G204" t="s">
        <v>489</v>
      </c>
      <c r="H204" t="s">
        <v>46</v>
      </c>
      <c r="I204">
        <v>1</v>
      </c>
      <c r="J204" s="4">
        <v>43590</v>
      </c>
      <c r="K204" s="4">
        <v>43590</v>
      </c>
      <c r="L204" s="5">
        <v>0.64583333333333337</v>
      </c>
      <c r="M204" s="5">
        <v>0.65972222222222221</v>
      </c>
      <c r="N204">
        <v>55.530740000000002</v>
      </c>
      <c r="O204">
        <v>13.879630000000001</v>
      </c>
      <c r="P204">
        <v>429282</v>
      </c>
      <c r="Q204">
        <v>6154424</v>
      </c>
      <c r="R204" t="s">
        <v>490</v>
      </c>
      <c r="S204">
        <v>310</v>
      </c>
      <c r="T204" t="s">
        <v>499</v>
      </c>
      <c r="U204" t="s">
        <v>492</v>
      </c>
      <c r="V204" t="s">
        <v>493</v>
      </c>
      <c r="W204" t="s">
        <v>494</v>
      </c>
      <c r="X204" t="s">
        <v>494</v>
      </c>
      <c r="Y204" t="s">
        <v>846</v>
      </c>
      <c r="Z204">
        <v>1</v>
      </c>
      <c r="AA204">
        <v>1</v>
      </c>
      <c r="AE204" t="s">
        <v>538</v>
      </c>
      <c r="AF204" t="s">
        <v>496</v>
      </c>
      <c r="AG204" t="b">
        <v>0</v>
      </c>
      <c r="AH204" t="b">
        <v>0</v>
      </c>
      <c r="AI204" t="b">
        <v>0</v>
      </c>
      <c r="AK204" t="s">
        <v>497</v>
      </c>
      <c r="AL204" t="b">
        <v>0</v>
      </c>
      <c r="AM204" t="b">
        <v>0</v>
      </c>
    </row>
    <row r="205" spans="1:39">
      <c r="A205" t="s">
        <v>847</v>
      </c>
      <c r="B205" t="b">
        <v>1</v>
      </c>
      <c r="C205">
        <v>100049</v>
      </c>
      <c r="D205" t="s">
        <v>295</v>
      </c>
      <c r="E205" t="s">
        <v>296</v>
      </c>
      <c r="F205" t="s">
        <v>488</v>
      </c>
      <c r="G205" t="s">
        <v>489</v>
      </c>
      <c r="H205" t="s">
        <v>46</v>
      </c>
      <c r="I205">
        <v>1</v>
      </c>
      <c r="J205" s="4">
        <v>43232</v>
      </c>
      <c r="K205" s="4">
        <v>43232</v>
      </c>
      <c r="L205" s="5">
        <v>0.66666666666666663</v>
      </c>
      <c r="M205" s="5">
        <v>0.75</v>
      </c>
      <c r="N205">
        <v>55.547759999999997</v>
      </c>
      <c r="O205">
        <v>13.86754</v>
      </c>
      <c r="P205">
        <v>428550</v>
      </c>
      <c r="Q205">
        <v>6156331</v>
      </c>
      <c r="R205" t="s">
        <v>490</v>
      </c>
      <c r="S205">
        <v>627</v>
      </c>
      <c r="T205" t="s">
        <v>541</v>
      </c>
      <c r="U205" t="s">
        <v>525</v>
      </c>
      <c r="V205" t="s">
        <v>504</v>
      </c>
      <c r="W205" t="s">
        <v>494</v>
      </c>
      <c r="X205" t="s">
        <v>494</v>
      </c>
      <c r="Y205" t="s">
        <v>848</v>
      </c>
      <c r="Z205">
        <v>1</v>
      </c>
      <c r="AA205">
        <v>1</v>
      </c>
      <c r="AE205" t="s">
        <v>42</v>
      </c>
      <c r="AF205" t="s">
        <v>496</v>
      </c>
      <c r="AG205" t="b">
        <v>0</v>
      </c>
      <c r="AH205" t="b">
        <v>0</v>
      </c>
      <c r="AI205" t="b">
        <v>0</v>
      </c>
      <c r="AK205" t="s">
        <v>497</v>
      </c>
      <c r="AL205" t="b">
        <v>0</v>
      </c>
      <c r="AM205" t="b">
        <v>0</v>
      </c>
    </row>
    <row r="206" spans="1:39">
      <c r="A206" t="s">
        <v>849</v>
      </c>
      <c r="B206" t="b">
        <v>1</v>
      </c>
      <c r="C206">
        <v>103055</v>
      </c>
      <c r="D206" t="s">
        <v>413</v>
      </c>
      <c r="E206" t="s">
        <v>414</v>
      </c>
      <c r="F206" t="s">
        <v>488</v>
      </c>
      <c r="G206" t="s">
        <v>489</v>
      </c>
      <c r="H206" t="s">
        <v>41</v>
      </c>
      <c r="I206">
        <v>1</v>
      </c>
      <c r="J206" s="4">
        <v>44288</v>
      </c>
      <c r="K206" s="4">
        <v>44288</v>
      </c>
      <c r="L206" s="5">
        <v>0.3125</v>
      </c>
      <c r="M206" s="5">
        <v>0.35416666666666669</v>
      </c>
      <c r="N206">
        <v>55.5351</v>
      </c>
      <c r="O206">
        <v>13.95862</v>
      </c>
      <c r="P206">
        <v>434276</v>
      </c>
      <c r="Q206">
        <v>6154832</v>
      </c>
      <c r="R206" t="s">
        <v>490</v>
      </c>
      <c r="S206">
        <v>400</v>
      </c>
      <c r="T206" t="s">
        <v>563</v>
      </c>
      <c r="U206" t="s">
        <v>508</v>
      </c>
      <c r="V206" t="s">
        <v>504</v>
      </c>
      <c r="W206" t="s">
        <v>494</v>
      </c>
      <c r="X206" t="s">
        <v>494</v>
      </c>
      <c r="Y206" t="s">
        <v>536</v>
      </c>
      <c r="Z206">
        <v>1</v>
      </c>
      <c r="AA206">
        <v>1</v>
      </c>
      <c r="AE206" t="s">
        <v>42</v>
      </c>
      <c r="AF206" t="s">
        <v>496</v>
      </c>
      <c r="AG206" t="b">
        <v>0</v>
      </c>
      <c r="AH206" t="b">
        <v>0</v>
      </c>
      <c r="AI206" t="b">
        <v>0</v>
      </c>
      <c r="AK206" t="s">
        <v>497</v>
      </c>
      <c r="AL206" t="b">
        <v>0</v>
      </c>
      <c r="AM206" t="b">
        <v>0</v>
      </c>
    </row>
    <row r="207" spans="1:39">
      <c r="A207" t="s">
        <v>850</v>
      </c>
      <c r="B207" t="b">
        <v>1</v>
      </c>
      <c r="C207">
        <v>102993</v>
      </c>
      <c r="D207" t="s">
        <v>384</v>
      </c>
      <c r="E207" t="s">
        <v>385</v>
      </c>
      <c r="F207" t="s">
        <v>488</v>
      </c>
      <c r="G207" t="s">
        <v>489</v>
      </c>
      <c r="H207" t="s">
        <v>85</v>
      </c>
      <c r="I207">
        <v>1</v>
      </c>
      <c r="J207" s="4">
        <v>45088</v>
      </c>
      <c r="K207" s="4">
        <v>45088</v>
      </c>
      <c r="L207" s="5">
        <v>0.375</v>
      </c>
      <c r="M207" s="5">
        <v>0.375</v>
      </c>
      <c r="N207">
        <v>55.54081</v>
      </c>
      <c r="O207">
        <v>13.95609</v>
      </c>
      <c r="P207">
        <v>434125</v>
      </c>
      <c r="Q207">
        <v>6155470</v>
      </c>
      <c r="R207" t="s">
        <v>490</v>
      </c>
      <c r="S207">
        <v>1500</v>
      </c>
      <c r="T207" t="s">
        <v>507</v>
      </c>
      <c r="U207" t="s">
        <v>508</v>
      </c>
      <c r="V207" t="s">
        <v>504</v>
      </c>
      <c r="W207" t="s">
        <v>494</v>
      </c>
      <c r="X207" t="s">
        <v>494</v>
      </c>
      <c r="Y207" t="s">
        <v>724</v>
      </c>
      <c r="Z207">
        <v>1</v>
      </c>
      <c r="AA207">
        <v>1</v>
      </c>
      <c r="AE207" t="s">
        <v>42</v>
      </c>
      <c r="AF207" t="s">
        <v>496</v>
      </c>
      <c r="AG207" t="b">
        <v>0</v>
      </c>
      <c r="AH207" t="b">
        <v>0</v>
      </c>
      <c r="AI207" t="b">
        <v>0</v>
      </c>
      <c r="AK207" t="s">
        <v>497</v>
      </c>
      <c r="AL207" t="b">
        <v>0</v>
      </c>
      <c r="AM207" t="b">
        <v>0</v>
      </c>
    </row>
    <row r="208" spans="1:39">
      <c r="A208" t="s">
        <v>851</v>
      </c>
      <c r="B208" t="b">
        <v>1</v>
      </c>
      <c r="C208">
        <v>103020</v>
      </c>
      <c r="D208" t="s">
        <v>328</v>
      </c>
      <c r="E208" t="s">
        <v>329</v>
      </c>
      <c r="F208" t="s">
        <v>488</v>
      </c>
      <c r="G208" t="s">
        <v>489</v>
      </c>
      <c r="H208" t="s">
        <v>41</v>
      </c>
      <c r="I208">
        <v>1</v>
      </c>
      <c r="J208" s="4">
        <v>45397</v>
      </c>
      <c r="K208" s="4">
        <v>45397</v>
      </c>
      <c r="N208">
        <v>55.555990000000001</v>
      </c>
      <c r="O208">
        <v>13.8973</v>
      </c>
      <c r="P208">
        <v>430442</v>
      </c>
      <c r="Q208">
        <v>6157216</v>
      </c>
      <c r="R208" t="s">
        <v>490</v>
      </c>
      <c r="S208">
        <v>400</v>
      </c>
      <c r="T208" t="s">
        <v>575</v>
      </c>
      <c r="U208" t="s">
        <v>532</v>
      </c>
      <c r="V208" t="s">
        <v>504</v>
      </c>
      <c r="W208" t="s">
        <v>494</v>
      </c>
      <c r="X208" t="s">
        <v>494</v>
      </c>
      <c r="Y208" t="s">
        <v>526</v>
      </c>
      <c r="Z208">
        <v>1</v>
      </c>
      <c r="AA208">
        <v>1</v>
      </c>
      <c r="AE208" t="s">
        <v>42</v>
      </c>
      <c r="AF208" t="s">
        <v>496</v>
      </c>
      <c r="AG208" t="b">
        <v>0</v>
      </c>
      <c r="AH208" t="b">
        <v>0</v>
      </c>
      <c r="AI208" t="b">
        <v>0</v>
      </c>
      <c r="AK208" t="s">
        <v>497</v>
      </c>
      <c r="AL208" t="b">
        <v>0</v>
      </c>
      <c r="AM208" t="b">
        <v>0</v>
      </c>
    </row>
    <row r="209" spans="1:39">
      <c r="A209" t="s">
        <v>852</v>
      </c>
      <c r="B209" t="b">
        <v>1</v>
      </c>
      <c r="C209">
        <v>102952</v>
      </c>
      <c r="D209" t="s">
        <v>158</v>
      </c>
      <c r="E209" t="s">
        <v>159</v>
      </c>
      <c r="F209" t="s">
        <v>488</v>
      </c>
      <c r="G209" t="s">
        <v>489</v>
      </c>
      <c r="H209" t="s">
        <v>85</v>
      </c>
      <c r="I209">
        <v>1</v>
      </c>
      <c r="J209" s="4">
        <v>45052</v>
      </c>
      <c r="K209" s="4">
        <v>45052</v>
      </c>
      <c r="N209">
        <v>55.562260000000002</v>
      </c>
      <c r="O209">
        <v>13.922969999999999</v>
      </c>
      <c r="P209">
        <v>432072</v>
      </c>
      <c r="Q209">
        <v>6157889</v>
      </c>
      <c r="R209" t="s">
        <v>490</v>
      </c>
      <c r="S209">
        <v>400</v>
      </c>
      <c r="T209" t="s">
        <v>762</v>
      </c>
      <c r="U209" t="s">
        <v>508</v>
      </c>
      <c r="V209" t="s">
        <v>504</v>
      </c>
      <c r="W209" t="s">
        <v>494</v>
      </c>
      <c r="X209" t="s">
        <v>494</v>
      </c>
      <c r="Y209" t="s">
        <v>550</v>
      </c>
      <c r="Z209">
        <v>4</v>
      </c>
      <c r="AA209">
        <v>4</v>
      </c>
      <c r="AE209" t="s">
        <v>538</v>
      </c>
      <c r="AF209" t="s">
        <v>496</v>
      </c>
      <c r="AG209" t="b">
        <v>0</v>
      </c>
      <c r="AH209" t="b">
        <v>0</v>
      </c>
      <c r="AI209" t="b">
        <v>0</v>
      </c>
      <c r="AK209" t="s">
        <v>497</v>
      </c>
      <c r="AL209" t="b">
        <v>0</v>
      </c>
      <c r="AM209" t="b">
        <v>0</v>
      </c>
    </row>
    <row r="210" spans="1:39">
      <c r="A210" t="s">
        <v>853</v>
      </c>
      <c r="B210" t="b">
        <v>1</v>
      </c>
      <c r="C210">
        <v>103037</v>
      </c>
      <c r="D210" t="s">
        <v>368</v>
      </c>
      <c r="E210" t="s">
        <v>369</v>
      </c>
      <c r="F210" t="s">
        <v>488</v>
      </c>
      <c r="G210" t="s">
        <v>489</v>
      </c>
      <c r="H210" t="s">
        <v>85</v>
      </c>
      <c r="I210">
        <v>1</v>
      </c>
      <c r="J210" s="4">
        <v>43932</v>
      </c>
      <c r="K210" s="4">
        <v>43932</v>
      </c>
      <c r="L210" s="5">
        <v>0.41666666666666669</v>
      </c>
      <c r="M210" s="5">
        <v>0.4375</v>
      </c>
      <c r="N210">
        <v>55.525750000000002</v>
      </c>
      <c r="O210">
        <v>13.88649</v>
      </c>
      <c r="P210">
        <v>429706</v>
      </c>
      <c r="Q210">
        <v>6153862</v>
      </c>
      <c r="R210" t="s">
        <v>490</v>
      </c>
      <c r="S210">
        <v>311</v>
      </c>
      <c r="T210" t="s">
        <v>515</v>
      </c>
      <c r="U210" t="s">
        <v>516</v>
      </c>
      <c r="V210" t="s">
        <v>493</v>
      </c>
      <c r="W210" t="s">
        <v>494</v>
      </c>
      <c r="X210" t="s">
        <v>494</v>
      </c>
      <c r="Y210" t="s">
        <v>560</v>
      </c>
      <c r="AE210" t="s">
        <v>42</v>
      </c>
      <c r="AF210" t="s">
        <v>496</v>
      </c>
      <c r="AG210" t="b">
        <v>0</v>
      </c>
      <c r="AH210" t="b">
        <v>0</v>
      </c>
      <c r="AI210" t="b">
        <v>0</v>
      </c>
      <c r="AK210" t="s">
        <v>497</v>
      </c>
      <c r="AL210" t="b">
        <v>0</v>
      </c>
      <c r="AM210" t="b">
        <v>0</v>
      </c>
    </row>
    <row r="211" spans="1:39">
      <c r="A211" t="s">
        <v>854</v>
      </c>
      <c r="B211" t="b">
        <v>1</v>
      </c>
      <c r="C211">
        <v>102952</v>
      </c>
      <c r="D211" t="s">
        <v>158</v>
      </c>
      <c r="E211" t="s">
        <v>159</v>
      </c>
      <c r="F211" t="s">
        <v>488</v>
      </c>
      <c r="G211" t="s">
        <v>489</v>
      </c>
      <c r="H211" t="s">
        <v>85</v>
      </c>
      <c r="I211">
        <v>1</v>
      </c>
      <c r="J211" s="4">
        <v>42158</v>
      </c>
      <c r="K211" s="4">
        <v>42158</v>
      </c>
      <c r="L211" s="5">
        <v>0.75</v>
      </c>
      <c r="M211" s="5">
        <v>0.75</v>
      </c>
      <c r="N211">
        <v>55.562449999999998</v>
      </c>
      <c r="O211">
        <v>13.921720000000001</v>
      </c>
      <c r="P211">
        <v>431994</v>
      </c>
      <c r="Q211">
        <v>6157911</v>
      </c>
      <c r="R211" t="s">
        <v>490</v>
      </c>
      <c r="S211">
        <v>100</v>
      </c>
      <c r="T211" t="s">
        <v>675</v>
      </c>
      <c r="U211" t="s">
        <v>508</v>
      </c>
      <c r="V211" t="s">
        <v>504</v>
      </c>
      <c r="W211" t="s">
        <v>494</v>
      </c>
      <c r="X211" t="s">
        <v>494</v>
      </c>
      <c r="Y211" t="s">
        <v>676</v>
      </c>
      <c r="Z211">
        <v>6</v>
      </c>
      <c r="AA211">
        <v>6</v>
      </c>
      <c r="AE211" t="s">
        <v>538</v>
      </c>
      <c r="AF211" t="s">
        <v>496</v>
      </c>
      <c r="AG211" t="b">
        <v>0</v>
      </c>
      <c r="AH211" t="b">
        <v>0</v>
      </c>
      <c r="AI211" t="b">
        <v>0</v>
      </c>
      <c r="AK211" t="s">
        <v>497</v>
      </c>
      <c r="AL211" t="b">
        <v>0</v>
      </c>
      <c r="AM211" t="b">
        <v>0</v>
      </c>
    </row>
    <row r="212" spans="1:39">
      <c r="A212" t="s">
        <v>855</v>
      </c>
      <c r="B212" t="b">
        <v>1</v>
      </c>
      <c r="C212">
        <v>103037</v>
      </c>
      <c r="D212" t="s">
        <v>368</v>
      </c>
      <c r="E212" t="s">
        <v>369</v>
      </c>
      <c r="F212" t="s">
        <v>488</v>
      </c>
      <c r="G212" t="s">
        <v>489</v>
      </c>
      <c r="H212" t="s">
        <v>85</v>
      </c>
      <c r="I212">
        <v>1</v>
      </c>
      <c r="J212" s="4">
        <v>45792</v>
      </c>
      <c r="K212" s="4">
        <v>45792</v>
      </c>
      <c r="L212" s="5">
        <v>0.37361111111111112</v>
      </c>
      <c r="M212" s="5">
        <v>0.37361111111111112</v>
      </c>
      <c r="N212">
        <v>55.558450000000001</v>
      </c>
      <c r="O212">
        <v>13.92013</v>
      </c>
      <c r="P212">
        <v>431887</v>
      </c>
      <c r="Q212">
        <v>6157468</v>
      </c>
      <c r="R212" t="s">
        <v>490</v>
      </c>
      <c r="S212">
        <v>593</v>
      </c>
      <c r="T212" t="s">
        <v>698</v>
      </c>
      <c r="U212" t="s">
        <v>508</v>
      </c>
      <c r="V212" t="s">
        <v>504</v>
      </c>
      <c r="W212" t="s">
        <v>494</v>
      </c>
      <c r="X212" t="s">
        <v>494</v>
      </c>
      <c r="Y212" t="s">
        <v>856</v>
      </c>
      <c r="Z212">
        <v>2</v>
      </c>
      <c r="AA212">
        <v>2</v>
      </c>
      <c r="AE212" t="s">
        <v>538</v>
      </c>
      <c r="AF212" t="s">
        <v>496</v>
      </c>
      <c r="AG212" t="b">
        <v>0</v>
      </c>
      <c r="AH212" t="b">
        <v>0</v>
      </c>
      <c r="AI212" t="b">
        <v>0</v>
      </c>
      <c r="AK212" t="s">
        <v>497</v>
      </c>
      <c r="AL212" t="b">
        <v>0</v>
      </c>
      <c r="AM212" t="b">
        <v>0</v>
      </c>
    </row>
    <row r="213" spans="1:39">
      <c r="A213" t="s">
        <v>857</v>
      </c>
      <c r="B213" t="b">
        <v>1</v>
      </c>
      <c r="C213">
        <v>102993</v>
      </c>
      <c r="D213" t="s">
        <v>384</v>
      </c>
      <c r="E213" t="s">
        <v>385</v>
      </c>
      <c r="F213" t="s">
        <v>488</v>
      </c>
      <c r="G213" t="s">
        <v>489</v>
      </c>
      <c r="H213" t="s">
        <v>85</v>
      </c>
      <c r="I213">
        <v>1</v>
      </c>
      <c r="J213" s="4">
        <v>45822</v>
      </c>
      <c r="K213" s="4">
        <v>45822</v>
      </c>
      <c r="N213">
        <v>55.551430000000003</v>
      </c>
      <c r="O213">
        <v>13.95172</v>
      </c>
      <c r="P213">
        <v>433867</v>
      </c>
      <c r="Q213">
        <v>6156655</v>
      </c>
      <c r="R213" t="s">
        <v>490</v>
      </c>
      <c r="S213">
        <v>100</v>
      </c>
      <c r="T213" t="s">
        <v>858</v>
      </c>
      <c r="U213" t="s">
        <v>508</v>
      </c>
      <c r="V213" t="s">
        <v>504</v>
      </c>
      <c r="W213" t="s">
        <v>494</v>
      </c>
      <c r="X213" t="s">
        <v>494</v>
      </c>
      <c r="Y213" t="s">
        <v>738</v>
      </c>
      <c r="Z213">
        <v>1</v>
      </c>
      <c r="AA213">
        <v>1</v>
      </c>
      <c r="AD213" t="s">
        <v>510</v>
      </c>
      <c r="AE213" t="s">
        <v>42</v>
      </c>
      <c r="AF213" t="s">
        <v>496</v>
      </c>
      <c r="AG213" t="b">
        <v>0</v>
      </c>
      <c r="AH213" t="b">
        <v>0</v>
      </c>
      <c r="AI213" t="b">
        <v>0</v>
      </c>
      <c r="AK213" t="s">
        <v>497</v>
      </c>
      <c r="AL213" t="b">
        <v>0</v>
      </c>
      <c r="AM213" t="b">
        <v>0</v>
      </c>
    </row>
    <row r="214" spans="1:39">
      <c r="A214" t="s">
        <v>859</v>
      </c>
      <c r="B214" t="b">
        <v>1</v>
      </c>
      <c r="C214">
        <v>103042</v>
      </c>
      <c r="D214" t="s">
        <v>398</v>
      </c>
      <c r="E214" t="s">
        <v>399</v>
      </c>
      <c r="F214" t="s">
        <v>488</v>
      </c>
      <c r="G214" t="s">
        <v>489</v>
      </c>
      <c r="H214" t="s">
        <v>85</v>
      </c>
      <c r="I214">
        <v>1</v>
      </c>
      <c r="J214" s="4">
        <v>46114</v>
      </c>
      <c r="K214" s="4">
        <v>46114</v>
      </c>
      <c r="L214" s="5">
        <v>0.40763888888888888</v>
      </c>
      <c r="M214" s="5">
        <v>0.40763888888888888</v>
      </c>
      <c r="N214">
        <v>55.569319999999998</v>
      </c>
      <c r="O214">
        <v>13.92938</v>
      </c>
      <c r="P214">
        <v>432488</v>
      </c>
      <c r="Q214">
        <v>6158668</v>
      </c>
      <c r="R214" t="s">
        <v>490</v>
      </c>
      <c r="S214">
        <v>593</v>
      </c>
      <c r="T214" t="s">
        <v>549</v>
      </c>
      <c r="U214" t="s">
        <v>508</v>
      </c>
      <c r="V214" t="s">
        <v>504</v>
      </c>
      <c r="W214" t="s">
        <v>494</v>
      </c>
      <c r="X214" t="s">
        <v>494</v>
      </c>
      <c r="Y214" t="s">
        <v>860</v>
      </c>
      <c r="Z214">
        <v>1</v>
      </c>
      <c r="AA214">
        <v>1</v>
      </c>
      <c r="AE214" t="s">
        <v>42</v>
      </c>
      <c r="AF214" t="s">
        <v>496</v>
      </c>
      <c r="AG214" t="b">
        <v>0</v>
      </c>
      <c r="AH214" t="b">
        <v>0</v>
      </c>
      <c r="AI214" t="b">
        <v>0</v>
      </c>
      <c r="AK214" t="s">
        <v>497</v>
      </c>
      <c r="AL214" t="b">
        <v>0</v>
      </c>
      <c r="AM214" t="b">
        <v>0</v>
      </c>
    </row>
    <row r="215" spans="1:39">
      <c r="A215" t="s">
        <v>861</v>
      </c>
      <c r="B215" t="b">
        <v>1</v>
      </c>
      <c r="C215">
        <v>102977</v>
      </c>
      <c r="D215" t="s">
        <v>47</v>
      </c>
      <c r="E215" t="s">
        <v>48</v>
      </c>
      <c r="F215" t="s">
        <v>488</v>
      </c>
      <c r="G215" t="s">
        <v>489</v>
      </c>
      <c r="H215" t="s">
        <v>46</v>
      </c>
      <c r="I215">
        <v>1</v>
      </c>
      <c r="J215" s="4">
        <v>39281</v>
      </c>
      <c r="K215" s="4">
        <v>39281</v>
      </c>
      <c r="L215" s="5">
        <v>0.83333333333333337</v>
      </c>
      <c r="M215" s="5">
        <v>0.83333333333333337</v>
      </c>
      <c r="N215">
        <v>55.525750000000002</v>
      </c>
      <c r="O215">
        <v>13.88649</v>
      </c>
      <c r="P215">
        <v>429706</v>
      </c>
      <c r="Q215">
        <v>6153862</v>
      </c>
      <c r="R215" t="s">
        <v>490</v>
      </c>
      <c r="S215">
        <v>311</v>
      </c>
      <c r="T215" t="s">
        <v>515</v>
      </c>
      <c r="U215" t="s">
        <v>516</v>
      </c>
      <c r="V215" t="s">
        <v>493</v>
      </c>
      <c r="W215" t="s">
        <v>494</v>
      </c>
      <c r="X215" t="s">
        <v>494</v>
      </c>
      <c r="Y215" t="s">
        <v>633</v>
      </c>
      <c r="Z215">
        <v>1</v>
      </c>
      <c r="AA215">
        <v>1</v>
      </c>
      <c r="AE215" t="s">
        <v>42</v>
      </c>
      <c r="AF215" t="s">
        <v>496</v>
      </c>
      <c r="AG215" t="b">
        <v>0</v>
      </c>
      <c r="AH215" t="b">
        <v>0</v>
      </c>
      <c r="AI215" t="b">
        <v>0</v>
      </c>
      <c r="AK215" t="s">
        <v>497</v>
      </c>
      <c r="AL215" t="b">
        <v>0</v>
      </c>
      <c r="AM215" t="b">
        <v>0</v>
      </c>
    </row>
    <row r="216" spans="1:39">
      <c r="A216" t="s">
        <v>862</v>
      </c>
      <c r="B216" t="b">
        <v>1</v>
      </c>
      <c r="C216">
        <v>103020</v>
      </c>
      <c r="D216" t="s">
        <v>328</v>
      </c>
      <c r="E216" t="s">
        <v>329</v>
      </c>
      <c r="F216" t="s">
        <v>488</v>
      </c>
      <c r="G216" t="s">
        <v>489</v>
      </c>
      <c r="H216" t="s">
        <v>41</v>
      </c>
      <c r="I216">
        <v>1</v>
      </c>
      <c r="J216" s="4">
        <v>39188</v>
      </c>
      <c r="K216" s="4">
        <v>39188</v>
      </c>
      <c r="L216" s="5">
        <v>0</v>
      </c>
      <c r="M216" s="5">
        <v>0</v>
      </c>
      <c r="N216">
        <v>55.555309999999999</v>
      </c>
      <c r="O216">
        <v>13.8569</v>
      </c>
      <c r="P216">
        <v>427893</v>
      </c>
      <c r="Q216">
        <v>6157182</v>
      </c>
      <c r="R216" t="s">
        <v>490</v>
      </c>
      <c r="S216">
        <v>140</v>
      </c>
      <c r="T216" t="s">
        <v>491</v>
      </c>
      <c r="U216" t="s">
        <v>492</v>
      </c>
      <c r="V216" t="s">
        <v>493</v>
      </c>
      <c r="W216" t="s">
        <v>494</v>
      </c>
      <c r="X216" t="s">
        <v>494</v>
      </c>
      <c r="Y216" t="s">
        <v>495</v>
      </c>
      <c r="AE216" t="s">
        <v>52</v>
      </c>
      <c r="AF216" t="s">
        <v>496</v>
      </c>
      <c r="AG216" t="b">
        <v>0</v>
      </c>
      <c r="AH216" t="b">
        <v>0</v>
      </c>
      <c r="AI216" t="b">
        <v>0</v>
      </c>
      <c r="AK216" t="s">
        <v>497</v>
      </c>
      <c r="AL216" t="b">
        <v>0</v>
      </c>
      <c r="AM216" t="b">
        <v>0</v>
      </c>
    </row>
    <row r="217" spans="1:39">
      <c r="A217" t="s">
        <v>863</v>
      </c>
      <c r="B217" t="b">
        <v>1</v>
      </c>
      <c r="C217">
        <v>102626</v>
      </c>
      <c r="D217" t="s">
        <v>318</v>
      </c>
      <c r="E217" t="s">
        <v>319</v>
      </c>
      <c r="F217" t="s">
        <v>488</v>
      </c>
      <c r="G217" t="s">
        <v>489</v>
      </c>
      <c r="H217" t="s">
        <v>46</v>
      </c>
      <c r="I217">
        <v>1</v>
      </c>
      <c r="J217" s="4">
        <v>38850</v>
      </c>
      <c r="K217" s="4">
        <v>38850</v>
      </c>
      <c r="L217" s="5">
        <v>0</v>
      </c>
      <c r="M217" s="5">
        <v>0</v>
      </c>
      <c r="N217">
        <v>55.555309999999999</v>
      </c>
      <c r="O217">
        <v>13.8569</v>
      </c>
      <c r="P217">
        <v>427893</v>
      </c>
      <c r="Q217">
        <v>6157182</v>
      </c>
      <c r="R217" t="s">
        <v>490</v>
      </c>
      <c r="S217">
        <v>140</v>
      </c>
      <c r="T217" t="s">
        <v>491</v>
      </c>
      <c r="U217" t="s">
        <v>492</v>
      </c>
      <c r="V217" t="s">
        <v>493</v>
      </c>
      <c r="W217" t="s">
        <v>494</v>
      </c>
      <c r="X217" t="s">
        <v>494</v>
      </c>
      <c r="Y217" t="s">
        <v>495</v>
      </c>
      <c r="Z217">
        <v>2</v>
      </c>
      <c r="AA217">
        <v>2</v>
      </c>
      <c r="AE217" t="s">
        <v>52</v>
      </c>
      <c r="AF217" t="s">
        <v>496</v>
      </c>
      <c r="AG217" t="b">
        <v>0</v>
      </c>
      <c r="AH217" t="b">
        <v>0</v>
      </c>
      <c r="AI217" t="b">
        <v>0</v>
      </c>
      <c r="AK217" t="s">
        <v>497</v>
      </c>
      <c r="AL217" t="b">
        <v>0</v>
      </c>
      <c r="AM217" t="b">
        <v>0</v>
      </c>
    </row>
    <row r="218" spans="1:39">
      <c r="A218" t="s">
        <v>864</v>
      </c>
      <c r="B218" t="b">
        <v>1</v>
      </c>
      <c r="C218">
        <v>102119</v>
      </c>
      <c r="D218" t="s">
        <v>291</v>
      </c>
      <c r="E218" t="s">
        <v>292</v>
      </c>
      <c r="F218" t="s">
        <v>488</v>
      </c>
      <c r="G218" t="s">
        <v>489</v>
      </c>
      <c r="H218" t="s">
        <v>41</v>
      </c>
      <c r="I218">
        <v>1</v>
      </c>
      <c r="J218" s="4">
        <v>41761</v>
      </c>
      <c r="K218" s="4">
        <v>41761</v>
      </c>
      <c r="L218" s="5">
        <v>0</v>
      </c>
      <c r="M218" s="5">
        <v>0</v>
      </c>
      <c r="N218">
        <v>55.555309999999999</v>
      </c>
      <c r="O218">
        <v>13.8569</v>
      </c>
      <c r="P218">
        <v>427893</v>
      </c>
      <c r="Q218">
        <v>6157182</v>
      </c>
      <c r="R218" t="s">
        <v>490</v>
      </c>
      <c r="S218">
        <v>140</v>
      </c>
      <c r="T218" t="s">
        <v>491</v>
      </c>
      <c r="U218" t="s">
        <v>492</v>
      </c>
      <c r="V218" t="s">
        <v>493</v>
      </c>
      <c r="W218" t="s">
        <v>494</v>
      </c>
      <c r="X218" t="s">
        <v>494</v>
      </c>
      <c r="Y218" t="s">
        <v>495</v>
      </c>
      <c r="Z218">
        <v>2</v>
      </c>
      <c r="AA218">
        <v>2</v>
      </c>
      <c r="AE218" t="s">
        <v>42</v>
      </c>
      <c r="AF218" t="s">
        <v>496</v>
      </c>
      <c r="AG218" t="b">
        <v>0</v>
      </c>
      <c r="AH218" t="b">
        <v>0</v>
      </c>
      <c r="AI218" t="b">
        <v>0</v>
      </c>
      <c r="AK218" t="s">
        <v>497</v>
      </c>
      <c r="AL218" t="b">
        <v>0</v>
      </c>
      <c r="AM218" t="b">
        <v>0</v>
      </c>
    </row>
    <row r="219" spans="1:39">
      <c r="A219" t="s">
        <v>865</v>
      </c>
      <c r="B219" t="b">
        <v>1</v>
      </c>
      <c r="C219">
        <v>102972</v>
      </c>
      <c r="D219" t="s">
        <v>55</v>
      </c>
      <c r="E219" t="s">
        <v>56</v>
      </c>
      <c r="F219" t="s">
        <v>488</v>
      </c>
      <c r="G219" t="s">
        <v>489</v>
      </c>
      <c r="H219" t="s">
        <v>41</v>
      </c>
      <c r="I219">
        <v>1</v>
      </c>
      <c r="J219" s="4">
        <v>41109</v>
      </c>
      <c r="K219" s="4">
        <v>41109</v>
      </c>
      <c r="L219" s="5">
        <v>0.5</v>
      </c>
      <c r="M219" s="5">
        <v>0.5</v>
      </c>
      <c r="N219">
        <v>55.54081</v>
      </c>
      <c r="O219">
        <v>13.95609</v>
      </c>
      <c r="P219">
        <v>434125</v>
      </c>
      <c r="Q219">
        <v>6155470</v>
      </c>
      <c r="R219" t="s">
        <v>490</v>
      </c>
      <c r="S219">
        <v>1500</v>
      </c>
      <c r="T219" t="s">
        <v>507</v>
      </c>
      <c r="U219" t="s">
        <v>508</v>
      </c>
      <c r="V219" t="s">
        <v>504</v>
      </c>
      <c r="W219" t="s">
        <v>494</v>
      </c>
      <c r="X219" t="s">
        <v>494</v>
      </c>
      <c r="Y219" t="s">
        <v>866</v>
      </c>
      <c r="Z219">
        <v>1</v>
      </c>
      <c r="AA219">
        <v>1</v>
      </c>
      <c r="AE219" t="s">
        <v>42</v>
      </c>
      <c r="AF219" t="s">
        <v>496</v>
      </c>
      <c r="AG219" t="b">
        <v>0</v>
      </c>
      <c r="AH219" t="b">
        <v>0</v>
      </c>
      <c r="AI219" t="b">
        <v>0</v>
      </c>
      <c r="AK219" t="s">
        <v>497</v>
      </c>
      <c r="AL219" t="b">
        <v>0</v>
      </c>
      <c r="AM219" t="b">
        <v>0</v>
      </c>
    </row>
    <row r="220" spans="1:39">
      <c r="A220" t="s">
        <v>867</v>
      </c>
      <c r="B220" t="b">
        <v>1</v>
      </c>
      <c r="C220">
        <v>103037</v>
      </c>
      <c r="D220" t="s">
        <v>368</v>
      </c>
      <c r="E220" t="s">
        <v>369</v>
      </c>
      <c r="F220" t="s">
        <v>488</v>
      </c>
      <c r="G220" t="s">
        <v>489</v>
      </c>
      <c r="H220" t="s">
        <v>85</v>
      </c>
      <c r="I220">
        <v>1</v>
      </c>
      <c r="J220" s="4">
        <v>41011</v>
      </c>
      <c r="K220" s="4">
        <v>41011</v>
      </c>
      <c r="L220" s="5">
        <v>0</v>
      </c>
      <c r="M220" s="5">
        <v>0</v>
      </c>
      <c r="N220">
        <v>55.555309999999999</v>
      </c>
      <c r="O220">
        <v>13.8569</v>
      </c>
      <c r="P220">
        <v>427893</v>
      </c>
      <c r="Q220">
        <v>6157182</v>
      </c>
      <c r="R220" t="s">
        <v>490</v>
      </c>
      <c r="S220">
        <v>140</v>
      </c>
      <c r="T220" t="s">
        <v>491</v>
      </c>
      <c r="U220" t="s">
        <v>492</v>
      </c>
      <c r="V220" t="s">
        <v>493</v>
      </c>
      <c r="W220" t="s">
        <v>494</v>
      </c>
      <c r="X220" t="s">
        <v>494</v>
      </c>
      <c r="Y220" t="s">
        <v>495</v>
      </c>
      <c r="Z220">
        <v>10</v>
      </c>
      <c r="AA220">
        <v>10</v>
      </c>
      <c r="AE220" t="s">
        <v>439</v>
      </c>
      <c r="AF220" t="s">
        <v>496</v>
      </c>
      <c r="AG220" t="b">
        <v>0</v>
      </c>
      <c r="AH220" t="b">
        <v>0</v>
      </c>
      <c r="AI220" t="b">
        <v>0</v>
      </c>
      <c r="AK220" t="s">
        <v>497</v>
      </c>
      <c r="AL220" t="b">
        <v>0</v>
      </c>
      <c r="AM220" t="b">
        <v>0</v>
      </c>
    </row>
    <row r="221" spans="1:39">
      <c r="A221" t="s">
        <v>868</v>
      </c>
      <c r="B221" t="b">
        <v>1</v>
      </c>
      <c r="C221">
        <v>103037</v>
      </c>
      <c r="D221" t="s">
        <v>368</v>
      </c>
      <c r="E221" t="s">
        <v>369</v>
      </c>
      <c r="F221" t="s">
        <v>488</v>
      </c>
      <c r="G221" t="s">
        <v>489</v>
      </c>
      <c r="H221" t="s">
        <v>85</v>
      </c>
      <c r="I221">
        <v>1</v>
      </c>
      <c r="J221" s="4">
        <v>41029</v>
      </c>
      <c r="K221" s="4">
        <v>41029</v>
      </c>
      <c r="L221" s="5">
        <v>0.54513888888888884</v>
      </c>
      <c r="M221" s="5">
        <v>0.59027777777777779</v>
      </c>
      <c r="N221">
        <v>55.527650000000001</v>
      </c>
      <c r="O221">
        <v>13.900119999999999</v>
      </c>
      <c r="P221">
        <v>430570</v>
      </c>
      <c r="Q221">
        <v>6154060</v>
      </c>
      <c r="R221" t="s">
        <v>490</v>
      </c>
      <c r="S221">
        <v>250</v>
      </c>
      <c r="T221" t="s">
        <v>578</v>
      </c>
      <c r="U221" t="s">
        <v>525</v>
      </c>
      <c r="V221" t="s">
        <v>504</v>
      </c>
      <c r="W221" t="s">
        <v>494</v>
      </c>
      <c r="X221" t="s">
        <v>494</v>
      </c>
      <c r="Y221" t="s">
        <v>685</v>
      </c>
      <c r="Z221">
        <v>5</v>
      </c>
      <c r="AA221">
        <v>5</v>
      </c>
      <c r="AE221" t="s">
        <v>538</v>
      </c>
      <c r="AF221" t="s">
        <v>496</v>
      </c>
      <c r="AG221" t="b">
        <v>0</v>
      </c>
      <c r="AH221" t="b">
        <v>0</v>
      </c>
      <c r="AI221" t="b">
        <v>0</v>
      </c>
      <c r="AK221" t="s">
        <v>497</v>
      </c>
      <c r="AL221" t="b">
        <v>0</v>
      </c>
      <c r="AM221" t="b">
        <v>0</v>
      </c>
    </row>
    <row r="222" spans="1:39">
      <c r="A222" t="s">
        <v>869</v>
      </c>
      <c r="B222" t="b">
        <v>1</v>
      </c>
      <c r="C222">
        <v>102980</v>
      </c>
      <c r="D222" t="s">
        <v>354</v>
      </c>
      <c r="E222" t="s">
        <v>355</v>
      </c>
      <c r="F222" t="s">
        <v>488</v>
      </c>
      <c r="G222" t="s">
        <v>489</v>
      </c>
      <c r="H222" t="s">
        <v>41</v>
      </c>
      <c r="I222">
        <v>1</v>
      </c>
      <c r="J222" s="4">
        <v>42194</v>
      </c>
      <c r="K222" s="4">
        <v>42194</v>
      </c>
      <c r="N222">
        <v>55.558250000000001</v>
      </c>
      <c r="O222">
        <v>13.85868</v>
      </c>
      <c r="P222">
        <v>428010</v>
      </c>
      <c r="Q222">
        <v>6157507</v>
      </c>
      <c r="R222" t="s">
        <v>490</v>
      </c>
      <c r="S222">
        <v>100</v>
      </c>
      <c r="T222" t="s">
        <v>531</v>
      </c>
      <c r="U222" t="s">
        <v>532</v>
      </c>
      <c r="V222" t="s">
        <v>504</v>
      </c>
      <c r="W222" t="s">
        <v>494</v>
      </c>
      <c r="X222" t="s">
        <v>494</v>
      </c>
      <c r="Y222" t="s">
        <v>495</v>
      </c>
      <c r="Z222">
        <v>2</v>
      </c>
      <c r="AA222">
        <v>2</v>
      </c>
      <c r="AC222" t="s">
        <v>512</v>
      </c>
      <c r="AE222" t="s">
        <v>62</v>
      </c>
      <c r="AF222" t="s">
        <v>496</v>
      </c>
      <c r="AG222" t="b">
        <v>0</v>
      </c>
      <c r="AH222" t="b">
        <v>0</v>
      </c>
      <c r="AI222" t="b">
        <v>0</v>
      </c>
      <c r="AK222" t="s">
        <v>497</v>
      </c>
      <c r="AL222" t="b">
        <v>0</v>
      </c>
      <c r="AM222" t="b">
        <v>0</v>
      </c>
    </row>
    <row r="223" spans="1:39">
      <c r="A223" t="s">
        <v>870</v>
      </c>
      <c r="B223" t="b">
        <v>1</v>
      </c>
      <c r="C223">
        <v>102980</v>
      </c>
      <c r="D223" t="s">
        <v>354</v>
      </c>
      <c r="E223" t="s">
        <v>355</v>
      </c>
      <c r="F223" t="s">
        <v>488</v>
      </c>
      <c r="G223" t="s">
        <v>489</v>
      </c>
      <c r="H223" t="s">
        <v>41</v>
      </c>
      <c r="I223">
        <v>1</v>
      </c>
      <c r="J223" s="4">
        <v>42174</v>
      </c>
      <c r="K223" s="4">
        <v>42182</v>
      </c>
      <c r="N223">
        <v>55.558250000000001</v>
      </c>
      <c r="O223">
        <v>13.85868</v>
      </c>
      <c r="P223">
        <v>428010</v>
      </c>
      <c r="Q223">
        <v>6157507</v>
      </c>
      <c r="R223" t="s">
        <v>490</v>
      </c>
      <c r="S223">
        <v>100</v>
      </c>
      <c r="T223" t="s">
        <v>531</v>
      </c>
      <c r="U223" t="s">
        <v>532</v>
      </c>
      <c r="V223" t="s">
        <v>504</v>
      </c>
      <c r="W223" t="s">
        <v>494</v>
      </c>
      <c r="X223" t="s">
        <v>494</v>
      </c>
      <c r="Y223" t="s">
        <v>495</v>
      </c>
      <c r="Z223">
        <v>2</v>
      </c>
      <c r="AA223">
        <v>2</v>
      </c>
      <c r="AC223" t="s">
        <v>512</v>
      </c>
      <c r="AE223" t="s">
        <v>429</v>
      </c>
      <c r="AF223" t="s">
        <v>496</v>
      </c>
      <c r="AG223" t="b">
        <v>0</v>
      </c>
      <c r="AH223" t="b">
        <v>0</v>
      </c>
      <c r="AI223" t="b">
        <v>0</v>
      </c>
      <c r="AK223" t="s">
        <v>497</v>
      </c>
      <c r="AL223" t="b">
        <v>0</v>
      </c>
      <c r="AM223" t="b">
        <v>0</v>
      </c>
    </row>
    <row r="224" spans="1:39">
      <c r="A224" t="s">
        <v>871</v>
      </c>
      <c r="B224" t="b">
        <v>1</v>
      </c>
      <c r="C224">
        <v>103006</v>
      </c>
      <c r="D224" t="s">
        <v>342</v>
      </c>
      <c r="E224" t="s">
        <v>343</v>
      </c>
      <c r="F224" t="s">
        <v>488</v>
      </c>
      <c r="G224" t="s">
        <v>489</v>
      </c>
      <c r="H224" t="s">
        <v>41</v>
      </c>
      <c r="I224">
        <v>1</v>
      </c>
      <c r="J224" s="4">
        <v>42883</v>
      </c>
      <c r="K224" s="4">
        <v>42883</v>
      </c>
      <c r="L224" s="5">
        <v>0.54861111111111116</v>
      </c>
      <c r="M224" s="5">
        <v>0.625</v>
      </c>
      <c r="N224">
        <v>55.530740000000002</v>
      </c>
      <c r="O224">
        <v>13.879630000000001</v>
      </c>
      <c r="P224">
        <v>429282</v>
      </c>
      <c r="Q224">
        <v>6154424</v>
      </c>
      <c r="R224" t="s">
        <v>490</v>
      </c>
      <c r="S224">
        <v>310</v>
      </c>
      <c r="T224" t="s">
        <v>499</v>
      </c>
      <c r="U224" t="s">
        <v>492</v>
      </c>
      <c r="V224" t="s">
        <v>493</v>
      </c>
      <c r="W224" t="s">
        <v>494</v>
      </c>
      <c r="X224" t="s">
        <v>494</v>
      </c>
      <c r="Y224" t="s">
        <v>872</v>
      </c>
      <c r="Z224">
        <v>1</v>
      </c>
      <c r="AA224">
        <v>1</v>
      </c>
      <c r="AE224" t="s">
        <v>42</v>
      </c>
      <c r="AF224" t="s">
        <v>496</v>
      </c>
      <c r="AG224" t="b">
        <v>0</v>
      </c>
      <c r="AH224" t="b">
        <v>0</v>
      </c>
      <c r="AI224" t="b">
        <v>0</v>
      </c>
      <c r="AK224" t="s">
        <v>497</v>
      </c>
      <c r="AL224" t="b">
        <v>0</v>
      </c>
      <c r="AM224" t="b">
        <v>0</v>
      </c>
    </row>
    <row r="225" spans="1:39">
      <c r="A225" t="s">
        <v>873</v>
      </c>
      <c r="B225" t="b">
        <v>1</v>
      </c>
      <c r="C225">
        <v>102977</v>
      </c>
      <c r="D225" t="s">
        <v>47</v>
      </c>
      <c r="E225" t="s">
        <v>48</v>
      </c>
      <c r="F225" t="s">
        <v>488</v>
      </c>
      <c r="G225" t="s">
        <v>489</v>
      </c>
      <c r="H225" t="s">
        <v>46</v>
      </c>
      <c r="I225">
        <v>1</v>
      </c>
      <c r="J225" s="4">
        <v>42448</v>
      </c>
      <c r="K225" s="4">
        <v>42448</v>
      </c>
      <c r="N225">
        <v>55.530740000000002</v>
      </c>
      <c r="O225">
        <v>13.879630000000001</v>
      </c>
      <c r="P225">
        <v>429282</v>
      </c>
      <c r="Q225">
        <v>6154424</v>
      </c>
      <c r="R225" t="s">
        <v>490</v>
      </c>
      <c r="S225">
        <v>310</v>
      </c>
      <c r="T225" t="s">
        <v>499</v>
      </c>
      <c r="U225" t="s">
        <v>492</v>
      </c>
      <c r="V225" t="s">
        <v>493</v>
      </c>
      <c r="W225" t="s">
        <v>494</v>
      </c>
      <c r="X225" t="s">
        <v>494</v>
      </c>
      <c r="Y225" t="s">
        <v>874</v>
      </c>
      <c r="Z225">
        <v>1</v>
      </c>
      <c r="AA225">
        <v>1</v>
      </c>
      <c r="AE225" t="s">
        <v>538</v>
      </c>
      <c r="AF225" t="s">
        <v>496</v>
      </c>
      <c r="AG225" t="b">
        <v>0</v>
      </c>
      <c r="AH225" t="b">
        <v>0</v>
      </c>
      <c r="AI225" t="b">
        <v>0</v>
      </c>
      <c r="AK225" t="s">
        <v>497</v>
      </c>
      <c r="AL225" t="b">
        <v>0</v>
      </c>
      <c r="AM225" t="b">
        <v>0</v>
      </c>
    </row>
    <row r="226" spans="1:39">
      <c r="A226" t="s">
        <v>875</v>
      </c>
      <c r="B226" t="b">
        <v>1</v>
      </c>
      <c r="C226">
        <v>103036</v>
      </c>
      <c r="D226" t="s">
        <v>324</v>
      </c>
      <c r="E226" t="s">
        <v>325</v>
      </c>
      <c r="F226" t="s">
        <v>488</v>
      </c>
      <c r="G226" t="s">
        <v>489</v>
      </c>
      <c r="H226" t="s">
        <v>46</v>
      </c>
      <c r="I226">
        <v>1</v>
      </c>
      <c r="J226" s="4">
        <v>39541</v>
      </c>
      <c r="K226" s="4">
        <v>39541</v>
      </c>
      <c r="L226" s="5">
        <v>0.5</v>
      </c>
      <c r="M226" s="5">
        <v>0.5</v>
      </c>
      <c r="N226">
        <v>55.527650000000001</v>
      </c>
      <c r="O226">
        <v>13.900119999999999</v>
      </c>
      <c r="P226">
        <v>430570</v>
      </c>
      <c r="Q226">
        <v>6154060</v>
      </c>
      <c r="R226" t="s">
        <v>490</v>
      </c>
      <c r="S226">
        <v>250</v>
      </c>
      <c r="T226" t="s">
        <v>578</v>
      </c>
      <c r="U226" t="s">
        <v>525</v>
      </c>
      <c r="V226" t="s">
        <v>504</v>
      </c>
      <c r="W226" t="s">
        <v>494</v>
      </c>
      <c r="X226" t="s">
        <v>494</v>
      </c>
      <c r="Y226" t="s">
        <v>876</v>
      </c>
      <c r="Z226">
        <v>1</v>
      </c>
      <c r="AA226">
        <v>1</v>
      </c>
      <c r="AE226" t="s">
        <v>538</v>
      </c>
      <c r="AF226" t="s">
        <v>496</v>
      </c>
      <c r="AG226" t="b">
        <v>0</v>
      </c>
      <c r="AH226" t="b">
        <v>0</v>
      </c>
      <c r="AI226" t="b">
        <v>0</v>
      </c>
      <c r="AK226" t="s">
        <v>497</v>
      </c>
      <c r="AL226" t="b">
        <v>0</v>
      </c>
      <c r="AM226" t="b">
        <v>0</v>
      </c>
    </row>
    <row r="227" spans="1:39">
      <c r="A227" t="s">
        <v>877</v>
      </c>
      <c r="B227" t="b">
        <v>1</v>
      </c>
      <c r="C227">
        <v>102990</v>
      </c>
      <c r="D227" t="s">
        <v>39</v>
      </c>
      <c r="E227" t="s">
        <v>40</v>
      </c>
      <c r="F227" t="s">
        <v>488</v>
      </c>
      <c r="G227" t="s">
        <v>489</v>
      </c>
      <c r="H227" t="s">
        <v>41</v>
      </c>
      <c r="I227">
        <v>1</v>
      </c>
      <c r="J227" s="4">
        <v>42538</v>
      </c>
      <c r="K227" s="4">
        <v>42538</v>
      </c>
      <c r="N227">
        <v>55.527650000000001</v>
      </c>
      <c r="O227">
        <v>13.900119999999999</v>
      </c>
      <c r="P227">
        <v>430570</v>
      </c>
      <c r="Q227">
        <v>6154060</v>
      </c>
      <c r="R227" t="s">
        <v>490</v>
      </c>
      <c r="S227">
        <v>250</v>
      </c>
      <c r="T227" t="s">
        <v>578</v>
      </c>
      <c r="U227" t="s">
        <v>525</v>
      </c>
      <c r="V227" t="s">
        <v>504</v>
      </c>
      <c r="W227" t="s">
        <v>494</v>
      </c>
      <c r="X227" t="s">
        <v>494</v>
      </c>
      <c r="Y227" t="s">
        <v>878</v>
      </c>
      <c r="Z227">
        <v>1</v>
      </c>
      <c r="AA227">
        <v>1</v>
      </c>
      <c r="AE227" t="s">
        <v>42</v>
      </c>
      <c r="AF227" t="s">
        <v>496</v>
      </c>
      <c r="AG227" t="b">
        <v>0</v>
      </c>
      <c r="AH227" t="b">
        <v>0</v>
      </c>
      <c r="AI227" t="b">
        <v>0</v>
      </c>
      <c r="AK227" t="s">
        <v>497</v>
      </c>
      <c r="AL227" t="b">
        <v>0</v>
      </c>
      <c r="AM227" t="b">
        <v>0</v>
      </c>
    </row>
    <row r="228" spans="1:39">
      <c r="A228" t="s">
        <v>879</v>
      </c>
      <c r="B228" t="b">
        <v>1</v>
      </c>
      <c r="C228">
        <v>102626</v>
      </c>
      <c r="D228" t="s">
        <v>318</v>
      </c>
      <c r="E228" t="s">
        <v>319</v>
      </c>
      <c r="F228" t="s">
        <v>488</v>
      </c>
      <c r="G228" t="s">
        <v>489</v>
      </c>
      <c r="H228" t="s">
        <v>46</v>
      </c>
      <c r="I228">
        <v>1</v>
      </c>
      <c r="J228" s="4">
        <v>42591</v>
      </c>
      <c r="K228" s="4">
        <v>42591</v>
      </c>
      <c r="N228">
        <v>55.555309999999999</v>
      </c>
      <c r="O228">
        <v>13.8569</v>
      </c>
      <c r="P228">
        <v>427893</v>
      </c>
      <c r="Q228">
        <v>6157182</v>
      </c>
      <c r="R228" t="s">
        <v>490</v>
      </c>
      <c r="S228">
        <v>140</v>
      </c>
      <c r="T228" t="s">
        <v>491</v>
      </c>
      <c r="U228" t="s">
        <v>492</v>
      </c>
      <c r="V228" t="s">
        <v>493</v>
      </c>
      <c r="W228" t="s">
        <v>494</v>
      </c>
      <c r="X228" t="s">
        <v>494</v>
      </c>
      <c r="Y228" t="s">
        <v>880</v>
      </c>
      <c r="Z228">
        <v>1</v>
      </c>
      <c r="AA228">
        <v>1</v>
      </c>
      <c r="AE228" t="s">
        <v>431</v>
      </c>
      <c r="AF228" t="s">
        <v>496</v>
      </c>
      <c r="AG228" t="b">
        <v>0</v>
      </c>
      <c r="AH228" t="b">
        <v>0</v>
      </c>
      <c r="AI228" t="b">
        <v>0</v>
      </c>
      <c r="AK228" t="s">
        <v>497</v>
      </c>
      <c r="AL228" t="b">
        <v>0</v>
      </c>
      <c r="AM228" t="b">
        <v>0</v>
      </c>
    </row>
    <row r="229" spans="1:39">
      <c r="A229" t="s">
        <v>881</v>
      </c>
      <c r="B229" t="b">
        <v>1</v>
      </c>
      <c r="C229">
        <v>103055</v>
      </c>
      <c r="D229" t="s">
        <v>413</v>
      </c>
      <c r="E229" t="s">
        <v>414</v>
      </c>
      <c r="F229" t="s">
        <v>488</v>
      </c>
      <c r="G229" t="s">
        <v>489</v>
      </c>
      <c r="H229" t="s">
        <v>41</v>
      </c>
      <c r="I229">
        <v>1</v>
      </c>
      <c r="J229" s="4">
        <v>39866</v>
      </c>
      <c r="K229" s="4">
        <v>39866</v>
      </c>
      <c r="L229" s="5">
        <v>0.33333333333333331</v>
      </c>
      <c r="M229" s="5">
        <v>0.40625</v>
      </c>
      <c r="N229">
        <v>55.547759999999997</v>
      </c>
      <c r="O229">
        <v>13.86754</v>
      </c>
      <c r="P229">
        <v>428550</v>
      </c>
      <c r="Q229">
        <v>6156331</v>
      </c>
      <c r="R229" t="s">
        <v>490</v>
      </c>
      <c r="S229">
        <v>627</v>
      </c>
      <c r="T229" t="s">
        <v>541</v>
      </c>
      <c r="U229" t="s">
        <v>525</v>
      </c>
      <c r="V229" t="s">
        <v>504</v>
      </c>
      <c r="W229" t="s">
        <v>494</v>
      </c>
      <c r="X229" t="s">
        <v>494</v>
      </c>
      <c r="Y229" t="s">
        <v>534</v>
      </c>
      <c r="Z229">
        <v>2</v>
      </c>
      <c r="AA229">
        <v>2</v>
      </c>
      <c r="AE229" t="s">
        <v>42</v>
      </c>
      <c r="AF229" t="s">
        <v>496</v>
      </c>
      <c r="AG229" t="b">
        <v>0</v>
      </c>
      <c r="AH229" t="b">
        <v>0</v>
      </c>
      <c r="AI229" t="b">
        <v>0</v>
      </c>
      <c r="AK229" t="s">
        <v>497</v>
      </c>
      <c r="AL229" t="b">
        <v>0</v>
      </c>
      <c r="AM229" t="b">
        <v>0</v>
      </c>
    </row>
    <row r="230" spans="1:39">
      <c r="A230" t="s">
        <v>882</v>
      </c>
      <c r="B230" t="b">
        <v>1</v>
      </c>
      <c r="C230">
        <v>103036</v>
      </c>
      <c r="D230" t="s">
        <v>324</v>
      </c>
      <c r="E230" t="s">
        <v>325</v>
      </c>
      <c r="F230" t="s">
        <v>488</v>
      </c>
      <c r="G230" t="s">
        <v>489</v>
      </c>
      <c r="H230" t="s">
        <v>46</v>
      </c>
      <c r="I230">
        <v>1</v>
      </c>
      <c r="J230" s="4">
        <v>40328</v>
      </c>
      <c r="K230" s="4">
        <v>40328</v>
      </c>
      <c r="L230" s="5">
        <v>0.54166666666666663</v>
      </c>
      <c r="M230" s="5">
        <v>0.54166666666666663</v>
      </c>
      <c r="N230">
        <v>55.530740000000002</v>
      </c>
      <c r="O230">
        <v>13.879630000000001</v>
      </c>
      <c r="P230">
        <v>429282</v>
      </c>
      <c r="Q230">
        <v>6154424</v>
      </c>
      <c r="R230" t="s">
        <v>490</v>
      </c>
      <c r="S230">
        <v>310</v>
      </c>
      <c r="T230" t="s">
        <v>499</v>
      </c>
      <c r="U230" t="s">
        <v>492</v>
      </c>
      <c r="V230" t="s">
        <v>493</v>
      </c>
      <c r="W230" t="s">
        <v>494</v>
      </c>
      <c r="X230" t="s">
        <v>494</v>
      </c>
      <c r="Y230" t="s">
        <v>883</v>
      </c>
      <c r="Z230">
        <v>1</v>
      </c>
      <c r="AA230">
        <v>1</v>
      </c>
      <c r="AE230" t="s">
        <v>884</v>
      </c>
      <c r="AF230" t="s">
        <v>496</v>
      </c>
      <c r="AG230" t="b">
        <v>0</v>
      </c>
      <c r="AH230" t="b">
        <v>0</v>
      </c>
      <c r="AI230" t="b">
        <v>0</v>
      </c>
      <c r="AK230" t="s">
        <v>497</v>
      </c>
      <c r="AL230" t="b">
        <v>0</v>
      </c>
      <c r="AM230" t="b">
        <v>0</v>
      </c>
    </row>
    <row r="231" spans="1:39">
      <c r="A231" t="s">
        <v>885</v>
      </c>
      <c r="B231" t="b">
        <v>1</v>
      </c>
      <c r="C231">
        <v>103055</v>
      </c>
      <c r="D231" t="s">
        <v>413</v>
      </c>
      <c r="E231" t="s">
        <v>414</v>
      </c>
      <c r="F231" t="s">
        <v>488</v>
      </c>
      <c r="G231" t="s">
        <v>489</v>
      </c>
      <c r="H231" t="s">
        <v>41</v>
      </c>
      <c r="I231">
        <v>1</v>
      </c>
      <c r="J231" s="4">
        <v>39208</v>
      </c>
      <c r="K231" s="4">
        <v>39208</v>
      </c>
      <c r="L231" s="5">
        <v>0.35416666666666669</v>
      </c>
      <c r="M231" s="5">
        <v>0.45833333333333331</v>
      </c>
      <c r="N231">
        <v>55.555309999999999</v>
      </c>
      <c r="O231">
        <v>13.8569</v>
      </c>
      <c r="P231">
        <v>427893</v>
      </c>
      <c r="Q231">
        <v>6157182</v>
      </c>
      <c r="R231" t="s">
        <v>490</v>
      </c>
      <c r="S231">
        <v>140</v>
      </c>
      <c r="T231" t="s">
        <v>491</v>
      </c>
      <c r="U231" t="s">
        <v>492</v>
      </c>
      <c r="V231" t="s">
        <v>493</v>
      </c>
      <c r="W231" t="s">
        <v>494</v>
      </c>
      <c r="X231" t="s">
        <v>494</v>
      </c>
      <c r="Y231" t="s">
        <v>586</v>
      </c>
      <c r="Z231">
        <v>1</v>
      </c>
      <c r="AA231">
        <v>1</v>
      </c>
      <c r="AE231" t="s">
        <v>42</v>
      </c>
      <c r="AF231" t="s">
        <v>496</v>
      </c>
      <c r="AG231" t="b">
        <v>0</v>
      </c>
      <c r="AH231" t="b">
        <v>0</v>
      </c>
      <c r="AI231" t="b">
        <v>0</v>
      </c>
      <c r="AK231" t="s">
        <v>497</v>
      </c>
      <c r="AL231" t="b">
        <v>0</v>
      </c>
      <c r="AM231" t="b">
        <v>0</v>
      </c>
    </row>
    <row r="232" spans="1:39">
      <c r="A232" t="s">
        <v>886</v>
      </c>
      <c r="B232" t="b">
        <v>1</v>
      </c>
      <c r="C232">
        <v>103036</v>
      </c>
      <c r="D232" t="s">
        <v>324</v>
      </c>
      <c r="E232" t="s">
        <v>325</v>
      </c>
      <c r="F232" t="s">
        <v>488</v>
      </c>
      <c r="G232" t="s">
        <v>489</v>
      </c>
      <c r="H232" t="s">
        <v>46</v>
      </c>
      <c r="I232">
        <v>1</v>
      </c>
      <c r="J232" s="4">
        <v>43535</v>
      </c>
      <c r="K232" s="4">
        <v>43535</v>
      </c>
      <c r="L232" s="5">
        <v>0.50347222222222221</v>
      </c>
      <c r="M232" s="5">
        <v>0.52083333333333337</v>
      </c>
      <c r="N232">
        <v>55.530740000000002</v>
      </c>
      <c r="O232">
        <v>13.879630000000001</v>
      </c>
      <c r="P232">
        <v>429282</v>
      </c>
      <c r="Q232">
        <v>6154424</v>
      </c>
      <c r="R232" t="s">
        <v>490</v>
      </c>
      <c r="S232">
        <v>310</v>
      </c>
      <c r="T232" t="s">
        <v>499</v>
      </c>
      <c r="U232" t="s">
        <v>492</v>
      </c>
      <c r="V232" t="s">
        <v>493</v>
      </c>
      <c r="W232" t="s">
        <v>494</v>
      </c>
      <c r="X232" t="s">
        <v>494</v>
      </c>
      <c r="Y232" t="s">
        <v>536</v>
      </c>
      <c r="Z232">
        <v>3</v>
      </c>
      <c r="AA232">
        <v>3</v>
      </c>
      <c r="AE232" t="s">
        <v>538</v>
      </c>
      <c r="AF232" t="s">
        <v>496</v>
      </c>
      <c r="AG232" t="b">
        <v>0</v>
      </c>
      <c r="AH232" t="b">
        <v>0</v>
      </c>
      <c r="AI232" t="b">
        <v>0</v>
      </c>
      <c r="AK232" t="s">
        <v>497</v>
      </c>
      <c r="AL232" t="b">
        <v>0</v>
      </c>
      <c r="AM232" t="b">
        <v>0</v>
      </c>
    </row>
    <row r="233" spans="1:39">
      <c r="A233" t="s">
        <v>887</v>
      </c>
      <c r="B233" t="b">
        <v>1</v>
      </c>
      <c r="C233">
        <v>100049</v>
      </c>
      <c r="D233" t="s">
        <v>295</v>
      </c>
      <c r="E233" t="s">
        <v>296</v>
      </c>
      <c r="F233" t="s">
        <v>488</v>
      </c>
      <c r="G233" t="s">
        <v>489</v>
      </c>
      <c r="H233" t="s">
        <v>46</v>
      </c>
      <c r="I233">
        <v>1</v>
      </c>
      <c r="J233" s="4">
        <v>43534</v>
      </c>
      <c r="K233" s="4">
        <v>43534</v>
      </c>
      <c r="L233" s="5">
        <v>0.49166666666666664</v>
      </c>
      <c r="M233" s="5">
        <v>0.54166666666666663</v>
      </c>
      <c r="N233">
        <v>55.530740000000002</v>
      </c>
      <c r="O233">
        <v>13.879630000000001</v>
      </c>
      <c r="P233">
        <v>429282</v>
      </c>
      <c r="Q233">
        <v>6154424</v>
      </c>
      <c r="R233" t="s">
        <v>490</v>
      </c>
      <c r="S233">
        <v>310</v>
      </c>
      <c r="T233" t="s">
        <v>499</v>
      </c>
      <c r="U233" t="s">
        <v>492</v>
      </c>
      <c r="V233" t="s">
        <v>493</v>
      </c>
      <c r="W233" t="s">
        <v>494</v>
      </c>
      <c r="X233" t="s">
        <v>494</v>
      </c>
      <c r="Y233" t="s">
        <v>888</v>
      </c>
      <c r="Z233">
        <v>1</v>
      </c>
      <c r="AA233">
        <v>1</v>
      </c>
      <c r="AE233" t="s">
        <v>42</v>
      </c>
      <c r="AF233" t="s">
        <v>496</v>
      </c>
      <c r="AG233" t="b">
        <v>0</v>
      </c>
      <c r="AH233" t="b">
        <v>0</v>
      </c>
      <c r="AI233" t="b">
        <v>0</v>
      </c>
      <c r="AK233" t="s">
        <v>497</v>
      </c>
      <c r="AL233" t="b">
        <v>0</v>
      </c>
      <c r="AM233" t="b">
        <v>0</v>
      </c>
    </row>
    <row r="234" spans="1:39">
      <c r="A234" t="s">
        <v>889</v>
      </c>
      <c r="B234" t="b">
        <v>1</v>
      </c>
      <c r="C234">
        <v>102972</v>
      </c>
      <c r="D234" t="s">
        <v>55</v>
      </c>
      <c r="E234" t="s">
        <v>56</v>
      </c>
      <c r="F234" t="s">
        <v>488</v>
      </c>
      <c r="G234" t="s">
        <v>489</v>
      </c>
      <c r="H234" t="s">
        <v>41</v>
      </c>
      <c r="I234">
        <v>1</v>
      </c>
      <c r="J234" s="4">
        <v>43664</v>
      </c>
      <c r="K234" s="4">
        <v>43664</v>
      </c>
      <c r="L234" s="5">
        <v>0.66666666666666663</v>
      </c>
      <c r="M234" s="5">
        <v>0.66666666666666663</v>
      </c>
      <c r="N234">
        <v>55.54081</v>
      </c>
      <c r="O234">
        <v>13.95609</v>
      </c>
      <c r="P234">
        <v>434125</v>
      </c>
      <c r="Q234">
        <v>6155470</v>
      </c>
      <c r="R234" t="s">
        <v>490</v>
      </c>
      <c r="S234">
        <v>1500</v>
      </c>
      <c r="T234" t="s">
        <v>507</v>
      </c>
      <c r="U234" t="s">
        <v>508</v>
      </c>
      <c r="V234" t="s">
        <v>504</v>
      </c>
      <c r="W234" t="s">
        <v>494</v>
      </c>
      <c r="X234" t="s">
        <v>494</v>
      </c>
      <c r="Y234" t="s">
        <v>536</v>
      </c>
      <c r="Z234">
        <v>1</v>
      </c>
      <c r="AA234">
        <v>1</v>
      </c>
      <c r="AE234" t="s">
        <v>42</v>
      </c>
      <c r="AF234" t="s">
        <v>496</v>
      </c>
      <c r="AG234" t="b">
        <v>0</v>
      </c>
      <c r="AH234" t="b">
        <v>0</v>
      </c>
      <c r="AI234" t="b">
        <v>0</v>
      </c>
      <c r="AK234" t="s">
        <v>497</v>
      </c>
      <c r="AL234" t="b">
        <v>0</v>
      </c>
      <c r="AM234" t="b">
        <v>0</v>
      </c>
    </row>
    <row r="235" spans="1:39">
      <c r="A235" t="s">
        <v>890</v>
      </c>
      <c r="B235" t="b">
        <v>1</v>
      </c>
      <c r="C235">
        <v>102975</v>
      </c>
      <c r="D235" t="s">
        <v>255</v>
      </c>
      <c r="E235" t="s">
        <v>256</v>
      </c>
      <c r="F235" t="s">
        <v>488</v>
      </c>
      <c r="G235" t="s">
        <v>489</v>
      </c>
      <c r="H235" t="s">
        <v>81</v>
      </c>
      <c r="I235">
        <v>1</v>
      </c>
      <c r="J235" s="4">
        <v>44747</v>
      </c>
      <c r="K235" s="4">
        <v>44747</v>
      </c>
      <c r="L235" s="5">
        <v>0.70833333333333337</v>
      </c>
      <c r="M235" s="5">
        <v>0.75</v>
      </c>
      <c r="N235">
        <v>55.530740000000002</v>
      </c>
      <c r="O235">
        <v>13.879630000000001</v>
      </c>
      <c r="P235">
        <v>429282</v>
      </c>
      <c r="Q235">
        <v>6154424</v>
      </c>
      <c r="R235" t="s">
        <v>490</v>
      </c>
      <c r="S235">
        <v>310</v>
      </c>
      <c r="T235" t="s">
        <v>499</v>
      </c>
      <c r="U235" t="s">
        <v>492</v>
      </c>
      <c r="V235" t="s">
        <v>493</v>
      </c>
      <c r="W235" t="s">
        <v>494</v>
      </c>
      <c r="X235" t="s">
        <v>494</v>
      </c>
      <c r="Y235" t="s">
        <v>536</v>
      </c>
      <c r="Z235">
        <v>1</v>
      </c>
      <c r="AA235">
        <v>1</v>
      </c>
      <c r="AE235" t="s">
        <v>43</v>
      </c>
      <c r="AF235" t="s">
        <v>496</v>
      </c>
      <c r="AG235" t="b">
        <v>0</v>
      </c>
      <c r="AH235" t="b">
        <v>0</v>
      </c>
      <c r="AI235" t="b">
        <v>0</v>
      </c>
      <c r="AK235" t="s">
        <v>497</v>
      </c>
      <c r="AL235" t="b">
        <v>0</v>
      </c>
      <c r="AM235" t="b">
        <v>0</v>
      </c>
    </row>
    <row r="236" spans="1:39">
      <c r="A236" t="s">
        <v>891</v>
      </c>
      <c r="B236" t="b">
        <v>1</v>
      </c>
      <c r="C236">
        <v>103042</v>
      </c>
      <c r="D236" t="s">
        <v>398</v>
      </c>
      <c r="E236" t="s">
        <v>399</v>
      </c>
      <c r="F236" t="s">
        <v>488</v>
      </c>
      <c r="G236" t="s">
        <v>489</v>
      </c>
      <c r="H236" t="s">
        <v>85</v>
      </c>
      <c r="I236">
        <v>1</v>
      </c>
      <c r="J236" s="4">
        <v>44684</v>
      </c>
      <c r="K236" s="4">
        <v>44684</v>
      </c>
      <c r="L236" s="5">
        <v>0.55555555555555558</v>
      </c>
      <c r="M236" s="5">
        <v>0.55555555555555558</v>
      </c>
      <c r="N236">
        <v>55.553930000000001</v>
      </c>
      <c r="O236">
        <v>13.94613</v>
      </c>
      <c r="P236">
        <v>433519</v>
      </c>
      <c r="Q236">
        <v>6156940</v>
      </c>
      <c r="R236" t="s">
        <v>490</v>
      </c>
      <c r="S236">
        <v>75</v>
      </c>
      <c r="T236" t="s">
        <v>892</v>
      </c>
      <c r="U236" t="s">
        <v>508</v>
      </c>
      <c r="V236" t="s">
        <v>504</v>
      </c>
      <c r="W236" t="s">
        <v>494</v>
      </c>
      <c r="X236" t="s">
        <v>494</v>
      </c>
      <c r="Y236" t="s">
        <v>536</v>
      </c>
      <c r="Z236">
        <v>1</v>
      </c>
      <c r="AA236">
        <v>1</v>
      </c>
      <c r="AE236" t="s">
        <v>42</v>
      </c>
      <c r="AF236" t="s">
        <v>496</v>
      </c>
      <c r="AG236" t="b">
        <v>0</v>
      </c>
      <c r="AH236" t="b">
        <v>0</v>
      </c>
      <c r="AI236" t="b">
        <v>0</v>
      </c>
      <c r="AK236" t="s">
        <v>497</v>
      </c>
      <c r="AL236" t="b">
        <v>0</v>
      </c>
      <c r="AM236" t="b">
        <v>0</v>
      </c>
    </row>
    <row r="237" spans="1:39">
      <c r="A237" t="s">
        <v>893</v>
      </c>
      <c r="B237" t="b">
        <v>1</v>
      </c>
      <c r="C237">
        <v>102990</v>
      </c>
      <c r="D237" t="s">
        <v>39</v>
      </c>
      <c r="E237" t="s">
        <v>40</v>
      </c>
      <c r="F237" t="s">
        <v>488</v>
      </c>
      <c r="G237" t="s">
        <v>489</v>
      </c>
      <c r="H237" t="s">
        <v>41</v>
      </c>
      <c r="I237">
        <v>1</v>
      </c>
      <c r="J237" s="4">
        <v>43575</v>
      </c>
      <c r="K237" s="4">
        <v>43575</v>
      </c>
      <c r="L237" s="5">
        <v>0.54166666666666663</v>
      </c>
      <c r="M237" s="5">
        <v>0.61111111111111116</v>
      </c>
      <c r="N237">
        <v>55.526710000000001</v>
      </c>
      <c r="O237">
        <v>13.90039</v>
      </c>
      <c r="P237">
        <v>430585</v>
      </c>
      <c r="Q237">
        <v>6153955</v>
      </c>
      <c r="R237" t="s">
        <v>490</v>
      </c>
      <c r="S237">
        <v>250</v>
      </c>
      <c r="T237" t="s">
        <v>894</v>
      </c>
      <c r="U237" t="s">
        <v>525</v>
      </c>
      <c r="V237" t="s">
        <v>504</v>
      </c>
      <c r="W237" t="s">
        <v>494</v>
      </c>
      <c r="X237" t="s">
        <v>494</v>
      </c>
      <c r="Y237" t="s">
        <v>749</v>
      </c>
      <c r="Z237">
        <v>1</v>
      </c>
      <c r="AA237">
        <v>1</v>
      </c>
      <c r="AE237" t="s">
        <v>42</v>
      </c>
      <c r="AF237" t="s">
        <v>496</v>
      </c>
      <c r="AG237" t="b">
        <v>0</v>
      </c>
      <c r="AH237" t="b">
        <v>0</v>
      </c>
      <c r="AI237" t="b">
        <v>0</v>
      </c>
      <c r="AK237" t="s">
        <v>497</v>
      </c>
      <c r="AL237" t="b">
        <v>0</v>
      </c>
      <c r="AM237" t="b">
        <v>0</v>
      </c>
    </row>
    <row r="238" spans="1:39">
      <c r="A238" t="s">
        <v>895</v>
      </c>
      <c r="B238" t="b">
        <v>1</v>
      </c>
      <c r="C238">
        <v>100056</v>
      </c>
      <c r="D238" t="s">
        <v>306</v>
      </c>
      <c r="E238" t="s">
        <v>307</v>
      </c>
      <c r="F238" t="s">
        <v>488</v>
      </c>
      <c r="G238" t="s">
        <v>489</v>
      </c>
      <c r="H238" t="s">
        <v>46</v>
      </c>
      <c r="I238">
        <v>1</v>
      </c>
      <c r="J238" s="4">
        <v>44657</v>
      </c>
      <c r="K238" s="4">
        <v>44657</v>
      </c>
      <c r="L238" s="5">
        <v>0.51041666666666663</v>
      </c>
      <c r="M238" s="5">
        <v>0.51041666666666663</v>
      </c>
      <c r="N238">
        <v>55.524630000000002</v>
      </c>
      <c r="O238">
        <v>13.906879999999999</v>
      </c>
      <c r="P238">
        <v>430992</v>
      </c>
      <c r="Q238">
        <v>6153717</v>
      </c>
      <c r="R238" t="s">
        <v>490</v>
      </c>
      <c r="S238">
        <v>500</v>
      </c>
      <c r="T238" t="s">
        <v>545</v>
      </c>
      <c r="U238" t="s">
        <v>525</v>
      </c>
      <c r="V238" t="s">
        <v>504</v>
      </c>
      <c r="W238" t="s">
        <v>494</v>
      </c>
      <c r="X238" t="s">
        <v>494</v>
      </c>
      <c r="Y238" t="s">
        <v>846</v>
      </c>
      <c r="Z238">
        <v>1</v>
      </c>
      <c r="AA238">
        <v>1</v>
      </c>
      <c r="AE238" t="s">
        <v>538</v>
      </c>
      <c r="AF238" t="s">
        <v>496</v>
      </c>
      <c r="AG238" t="b">
        <v>0</v>
      </c>
      <c r="AH238" t="b">
        <v>0</v>
      </c>
      <c r="AI238" t="b">
        <v>0</v>
      </c>
      <c r="AK238" t="s">
        <v>497</v>
      </c>
      <c r="AL238" t="b">
        <v>0</v>
      </c>
      <c r="AM238" t="b">
        <v>0</v>
      </c>
    </row>
    <row r="239" spans="1:39">
      <c r="A239" t="s">
        <v>896</v>
      </c>
      <c r="B239" t="b">
        <v>1</v>
      </c>
      <c r="C239">
        <v>102952</v>
      </c>
      <c r="D239" t="s">
        <v>158</v>
      </c>
      <c r="E239" t="s">
        <v>159</v>
      </c>
      <c r="F239" t="s">
        <v>488</v>
      </c>
      <c r="G239" t="s">
        <v>489</v>
      </c>
      <c r="H239" t="s">
        <v>85</v>
      </c>
      <c r="I239">
        <v>1</v>
      </c>
      <c r="J239" s="4">
        <v>43926</v>
      </c>
      <c r="K239" s="4">
        <v>43926</v>
      </c>
      <c r="L239" s="5">
        <v>0.51041666666666663</v>
      </c>
      <c r="M239" s="5">
        <v>0.58333333333333337</v>
      </c>
      <c r="N239">
        <v>55.515189999999997</v>
      </c>
      <c r="O239">
        <v>13.899330000000001</v>
      </c>
      <c r="P239">
        <v>430498</v>
      </c>
      <c r="Q239">
        <v>6152673</v>
      </c>
      <c r="R239" t="s">
        <v>490</v>
      </c>
      <c r="S239">
        <v>125</v>
      </c>
      <c r="T239" t="s">
        <v>552</v>
      </c>
      <c r="U239" t="s">
        <v>525</v>
      </c>
      <c r="V239" t="s">
        <v>504</v>
      </c>
      <c r="W239" t="s">
        <v>494</v>
      </c>
      <c r="X239" t="s">
        <v>494</v>
      </c>
      <c r="Y239" t="s">
        <v>536</v>
      </c>
      <c r="Z239">
        <v>2</v>
      </c>
      <c r="AA239">
        <v>2</v>
      </c>
      <c r="AD239" t="s">
        <v>527</v>
      </c>
      <c r="AE239" t="s">
        <v>538</v>
      </c>
      <c r="AF239" t="s">
        <v>496</v>
      </c>
      <c r="AG239" t="b">
        <v>0</v>
      </c>
      <c r="AH239" t="b">
        <v>0</v>
      </c>
      <c r="AI239" t="b">
        <v>0</v>
      </c>
      <c r="AK239" t="s">
        <v>497</v>
      </c>
      <c r="AL239" t="b">
        <v>0</v>
      </c>
      <c r="AM239" t="b">
        <v>0</v>
      </c>
    </row>
    <row r="240" spans="1:39">
      <c r="A240" t="s">
        <v>897</v>
      </c>
      <c r="B240" t="b">
        <v>1</v>
      </c>
      <c r="C240">
        <v>100049</v>
      </c>
      <c r="D240" t="s">
        <v>295</v>
      </c>
      <c r="E240" t="s">
        <v>296</v>
      </c>
      <c r="F240" t="s">
        <v>488</v>
      </c>
      <c r="G240" t="s">
        <v>489</v>
      </c>
      <c r="H240" t="s">
        <v>46</v>
      </c>
      <c r="I240">
        <v>1</v>
      </c>
      <c r="J240" s="4">
        <v>43932</v>
      </c>
      <c r="K240" s="4">
        <v>43932</v>
      </c>
      <c r="L240" s="5">
        <v>0.41666666666666669</v>
      </c>
      <c r="M240" s="5">
        <v>0.4375</v>
      </c>
      <c r="N240">
        <v>55.525750000000002</v>
      </c>
      <c r="O240">
        <v>13.88649</v>
      </c>
      <c r="P240">
        <v>429706</v>
      </c>
      <c r="Q240">
        <v>6153862</v>
      </c>
      <c r="R240" t="s">
        <v>490</v>
      </c>
      <c r="S240">
        <v>311</v>
      </c>
      <c r="T240" t="s">
        <v>515</v>
      </c>
      <c r="U240" t="s">
        <v>516</v>
      </c>
      <c r="V240" t="s">
        <v>493</v>
      </c>
      <c r="W240" t="s">
        <v>494</v>
      </c>
      <c r="X240" t="s">
        <v>494</v>
      </c>
      <c r="Y240" t="s">
        <v>560</v>
      </c>
      <c r="Z240">
        <v>1</v>
      </c>
      <c r="AA240">
        <v>1</v>
      </c>
      <c r="AE240" t="s">
        <v>542</v>
      </c>
      <c r="AF240" t="s">
        <v>496</v>
      </c>
      <c r="AG240" t="b">
        <v>0</v>
      </c>
      <c r="AH240" t="b">
        <v>0</v>
      </c>
      <c r="AI240" t="b">
        <v>0</v>
      </c>
      <c r="AK240" t="s">
        <v>497</v>
      </c>
      <c r="AL240" t="b">
        <v>0</v>
      </c>
      <c r="AM240" t="b">
        <v>0</v>
      </c>
    </row>
    <row r="241" spans="1:39">
      <c r="A241" t="s">
        <v>898</v>
      </c>
      <c r="B241" t="b">
        <v>1</v>
      </c>
      <c r="C241">
        <v>103042</v>
      </c>
      <c r="D241" t="s">
        <v>398</v>
      </c>
      <c r="E241" t="s">
        <v>399</v>
      </c>
      <c r="F241" t="s">
        <v>488</v>
      </c>
      <c r="G241" t="s">
        <v>489</v>
      </c>
      <c r="H241" t="s">
        <v>85</v>
      </c>
      <c r="I241">
        <v>1</v>
      </c>
      <c r="J241" s="4">
        <v>44017</v>
      </c>
      <c r="K241" s="4">
        <v>44017</v>
      </c>
      <c r="L241" s="5">
        <v>0.4375</v>
      </c>
      <c r="M241" s="5">
        <v>0.47222222222222221</v>
      </c>
      <c r="N241">
        <v>55.530740000000002</v>
      </c>
      <c r="O241">
        <v>13.879630000000001</v>
      </c>
      <c r="P241">
        <v>429282</v>
      </c>
      <c r="Q241">
        <v>6154424</v>
      </c>
      <c r="R241" t="s">
        <v>490</v>
      </c>
      <c r="S241">
        <v>310</v>
      </c>
      <c r="T241" t="s">
        <v>499</v>
      </c>
      <c r="U241" t="s">
        <v>492</v>
      </c>
      <c r="V241" t="s">
        <v>493</v>
      </c>
      <c r="W241" t="s">
        <v>494</v>
      </c>
      <c r="X241" t="s">
        <v>494</v>
      </c>
      <c r="Y241" t="s">
        <v>560</v>
      </c>
      <c r="Z241">
        <v>1</v>
      </c>
      <c r="AA241">
        <v>1</v>
      </c>
      <c r="AE241" t="s">
        <v>42</v>
      </c>
      <c r="AF241" t="s">
        <v>496</v>
      </c>
      <c r="AG241" t="b">
        <v>0</v>
      </c>
      <c r="AH241" t="b">
        <v>0</v>
      </c>
      <c r="AI241" t="b">
        <v>0</v>
      </c>
      <c r="AK241" t="s">
        <v>497</v>
      </c>
      <c r="AL241" t="b">
        <v>0</v>
      </c>
      <c r="AM241" t="b">
        <v>0</v>
      </c>
    </row>
    <row r="242" spans="1:39">
      <c r="A242" t="s">
        <v>899</v>
      </c>
      <c r="B242" t="b">
        <v>1</v>
      </c>
      <c r="C242">
        <v>100028</v>
      </c>
      <c r="D242" t="s">
        <v>60</v>
      </c>
      <c r="E242" t="s">
        <v>61</v>
      </c>
      <c r="F242" t="s">
        <v>488</v>
      </c>
      <c r="G242" t="s">
        <v>489</v>
      </c>
      <c r="H242" t="s">
        <v>46</v>
      </c>
      <c r="I242">
        <v>1</v>
      </c>
      <c r="J242" s="4">
        <v>44350</v>
      </c>
      <c r="K242" s="4">
        <v>44350</v>
      </c>
      <c r="L242" s="5">
        <v>0.77083333333333337</v>
      </c>
      <c r="M242" s="5">
        <v>0.8125</v>
      </c>
      <c r="N242">
        <v>55.515189999999997</v>
      </c>
      <c r="O242">
        <v>13.899330000000001</v>
      </c>
      <c r="P242">
        <v>430498</v>
      </c>
      <c r="Q242">
        <v>6152673</v>
      </c>
      <c r="R242" t="s">
        <v>490</v>
      </c>
      <c r="S242">
        <v>125</v>
      </c>
      <c r="T242" t="s">
        <v>552</v>
      </c>
      <c r="U242" t="s">
        <v>525</v>
      </c>
      <c r="V242" t="s">
        <v>504</v>
      </c>
      <c r="W242" t="s">
        <v>494</v>
      </c>
      <c r="X242" t="s">
        <v>494</v>
      </c>
      <c r="Y242" t="s">
        <v>536</v>
      </c>
      <c r="Z242">
        <v>2</v>
      </c>
      <c r="AA242">
        <v>2</v>
      </c>
      <c r="AE242" t="s">
        <v>538</v>
      </c>
      <c r="AF242" t="s">
        <v>496</v>
      </c>
      <c r="AG242" t="b">
        <v>0</v>
      </c>
      <c r="AH242" t="b">
        <v>0</v>
      </c>
      <c r="AI242" t="b">
        <v>0</v>
      </c>
      <c r="AK242" t="s">
        <v>497</v>
      </c>
      <c r="AL242" t="b">
        <v>0</v>
      </c>
      <c r="AM242" t="b">
        <v>0</v>
      </c>
    </row>
    <row r="243" spans="1:39">
      <c r="A243" t="s">
        <v>900</v>
      </c>
      <c r="B243" t="b">
        <v>1</v>
      </c>
      <c r="C243">
        <v>102987</v>
      </c>
      <c r="D243" t="s">
        <v>388</v>
      </c>
      <c r="E243" t="s">
        <v>389</v>
      </c>
      <c r="F243" t="s">
        <v>488</v>
      </c>
      <c r="G243" t="s">
        <v>489</v>
      </c>
      <c r="H243" t="s">
        <v>41</v>
      </c>
      <c r="I243">
        <v>1</v>
      </c>
      <c r="J243" s="4">
        <v>45087</v>
      </c>
      <c r="K243" s="4">
        <v>45087</v>
      </c>
      <c r="L243" s="5">
        <v>0.54166666666666663</v>
      </c>
      <c r="M243" s="5">
        <v>0.64583333333333337</v>
      </c>
      <c r="N243">
        <v>55.547449999999998</v>
      </c>
      <c r="O243">
        <v>13.86797</v>
      </c>
      <c r="P243">
        <v>428576</v>
      </c>
      <c r="Q243">
        <v>6156296</v>
      </c>
      <c r="R243" t="s">
        <v>490</v>
      </c>
      <c r="S243">
        <v>100</v>
      </c>
      <c r="T243" t="s">
        <v>901</v>
      </c>
      <c r="U243" t="s">
        <v>525</v>
      </c>
      <c r="V243" t="s">
        <v>504</v>
      </c>
      <c r="W243" t="s">
        <v>494</v>
      </c>
      <c r="X243" t="s">
        <v>494</v>
      </c>
      <c r="Y243" t="s">
        <v>584</v>
      </c>
      <c r="Z243">
        <v>1</v>
      </c>
      <c r="AA243">
        <v>1</v>
      </c>
      <c r="AC243" t="s">
        <v>512</v>
      </c>
      <c r="AE243" t="s">
        <v>538</v>
      </c>
      <c r="AF243" t="s">
        <v>496</v>
      </c>
      <c r="AG243" t="b">
        <v>0</v>
      </c>
      <c r="AH243" t="b">
        <v>0</v>
      </c>
      <c r="AI243" t="b">
        <v>0</v>
      </c>
      <c r="AK243" t="s">
        <v>497</v>
      </c>
      <c r="AL243" t="b">
        <v>0</v>
      </c>
      <c r="AM243" t="b">
        <v>0</v>
      </c>
    </row>
    <row r="244" spans="1:39">
      <c r="A244" t="s">
        <v>902</v>
      </c>
      <c r="B244" t="b">
        <v>1</v>
      </c>
      <c r="C244">
        <v>102951</v>
      </c>
      <c r="D244" t="s">
        <v>156</v>
      </c>
      <c r="E244" t="s">
        <v>157</v>
      </c>
      <c r="F244" t="s">
        <v>488</v>
      </c>
      <c r="G244" t="s">
        <v>489</v>
      </c>
      <c r="H244" t="s">
        <v>46</v>
      </c>
      <c r="I244">
        <v>1</v>
      </c>
      <c r="J244" s="4">
        <v>45431</v>
      </c>
      <c r="K244" s="4">
        <v>45431</v>
      </c>
      <c r="L244" s="5">
        <v>0.51041666666666663</v>
      </c>
      <c r="M244" s="5">
        <v>0.60416666666666663</v>
      </c>
      <c r="N244">
        <v>55.515189999999997</v>
      </c>
      <c r="O244">
        <v>13.899330000000001</v>
      </c>
      <c r="P244">
        <v>430498</v>
      </c>
      <c r="Q244">
        <v>6152673</v>
      </c>
      <c r="R244" t="s">
        <v>490</v>
      </c>
      <c r="S244">
        <v>125</v>
      </c>
      <c r="T244" t="s">
        <v>552</v>
      </c>
      <c r="U244" t="s">
        <v>525</v>
      </c>
      <c r="V244" t="s">
        <v>504</v>
      </c>
      <c r="W244" t="s">
        <v>494</v>
      </c>
      <c r="X244" t="s">
        <v>494</v>
      </c>
      <c r="Y244" t="s">
        <v>536</v>
      </c>
      <c r="Z244">
        <v>1</v>
      </c>
      <c r="AA244">
        <v>1</v>
      </c>
      <c r="AE244" t="s">
        <v>538</v>
      </c>
      <c r="AF244" t="s">
        <v>496</v>
      </c>
      <c r="AG244" t="b">
        <v>0</v>
      </c>
      <c r="AH244" t="b">
        <v>0</v>
      </c>
      <c r="AI244" t="b">
        <v>0</v>
      </c>
      <c r="AK244" t="s">
        <v>497</v>
      </c>
      <c r="AL244" t="b">
        <v>0</v>
      </c>
      <c r="AM244" t="b">
        <v>0</v>
      </c>
    </row>
    <row r="245" spans="1:39">
      <c r="A245" t="s">
        <v>903</v>
      </c>
      <c r="B245" t="b">
        <v>1</v>
      </c>
      <c r="C245">
        <v>103012</v>
      </c>
      <c r="D245" t="s">
        <v>358</v>
      </c>
      <c r="E245" t="s">
        <v>359</v>
      </c>
      <c r="F245" t="s">
        <v>488</v>
      </c>
      <c r="G245" t="s">
        <v>489</v>
      </c>
      <c r="H245" t="s">
        <v>41</v>
      </c>
      <c r="I245">
        <v>1</v>
      </c>
      <c r="J245" s="4">
        <v>45445</v>
      </c>
      <c r="K245" s="4">
        <v>45445</v>
      </c>
      <c r="L245" s="5">
        <v>0.48819444444444443</v>
      </c>
      <c r="M245" s="5">
        <v>0.48819444444444443</v>
      </c>
      <c r="N245">
        <v>55.530740000000002</v>
      </c>
      <c r="O245">
        <v>13.879630000000001</v>
      </c>
      <c r="P245">
        <v>429282</v>
      </c>
      <c r="Q245">
        <v>6154424</v>
      </c>
      <c r="R245" t="s">
        <v>490</v>
      </c>
      <c r="S245">
        <v>310</v>
      </c>
      <c r="T245" t="s">
        <v>499</v>
      </c>
      <c r="U245" t="s">
        <v>492</v>
      </c>
      <c r="V245" t="s">
        <v>493</v>
      </c>
      <c r="W245" t="s">
        <v>494</v>
      </c>
      <c r="X245" t="s">
        <v>494</v>
      </c>
      <c r="Y245" t="s">
        <v>904</v>
      </c>
      <c r="Z245">
        <v>1</v>
      </c>
      <c r="AA245">
        <v>1</v>
      </c>
      <c r="AE245" t="s">
        <v>42</v>
      </c>
      <c r="AF245" t="s">
        <v>496</v>
      </c>
      <c r="AG245" t="b">
        <v>0</v>
      </c>
      <c r="AH245" t="b">
        <v>0</v>
      </c>
      <c r="AI245" t="b">
        <v>0</v>
      </c>
      <c r="AK245" t="s">
        <v>497</v>
      </c>
      <c r="AL245" t="b">
        <v>0</v>
      </c>
      <c r="AM245" t="b">
        <v>0</v>
      </c>
    </row>
    <row r="246" spans="1:39">
      <c r="A246" t="s">
        <v>905</v>
      </c>
      <c r="B246" t="b">
        <v>1</v>
      </c>
      <c r="C246">
        <v>102990</v>
      </c>
      <c r="D246" t="s">
        <v>39</v>
      </c>
      <c r="E246" t="s">
        <v>40</v>
      </c>
      <c r="F246" t="s">
        <v>488</v>
      </c>
      <c r="G246" t="s">
        <v>489</v>
      </c>
      <c r="H246" t="s">
        <v>41</v>
      </c>
      <c r="I246">
        <v>1</v>
      </c>
      <c r="J246" s="4">
        <v>45775</v>
      </c>
      <c r="K246" s="4">
        <v>45775</v>
      </c>
      <c r="L246" s="5">
        <v>0.79166666666666663</v>
      </c>
      <c r="M246" s="5">
        <v>0.83333333333333337</v>
      </c>
      <c r="N246">
        <v>55.513469999999998</v>
      </c>
      <c r="O246">
        <v>13.92332</v>
      </c>
      <c r="P246">
        <v>432010</v>
      </c>
      <c r="Q246">
        <v>6152459</v>
      </c>
      <c r="R246" t="s">
        <v>490</v>
      </c>
      <c r="S246">
        <v>300</v>
      </c>
      <c r="T246" t="s">
        <v>796</v>
      </c>
      <c r="U246" t="s">
        <v>503</v>
      </c>
      <c r="V246" t="s">
        <v>504</v>
      </c>
      <c r="W246" t="s">
        <v>494</v>
      </c>
      <c r="X246" t="s">
        <v>494</v>
      </c>
      <c r="Y246" t="s">
        <v>536</v>
      </c>
      <c r="Z246">
        <v>1</v>
      </c>
      <c r="AA246">
        <v>1</v>
      </c>
      <c r="AE246" t="s">
        <v>42</v>
      </c>
      <c r="AF246" t="s">
        <v>496</v>
      </c>
      <c r="AG246" t="b">
        <v>0</v>
      </c>
      <c r="AH246" t="b">
        <v>0</v>
      </c>
      <c r="AI246" t="b">
        <v>0</v>
      </c>
      <c r="AK246" t="s">
        <v>497</v>
      </c>
      <c r="AL246" t="b">
        <v>0</v>
      </c>
      <c r="AM246" t="b">
        <v>0</v>
      </c>
    </row>
    <row r="247" spans="1:39">
      <c r="A247" t="s">
        <v>906</v>
      </c>
      <c r="B247" t="b">
        <v>1</v>
      </c>
      <c r="C247">
        <v>102993</v>
      </c>
      <c r="D247" t="s">
        <v>384</v>
      </c>
      <c r="E247" t="s">
        <v>385</v>
      </c>
      <c r="F247" t="s">
        <v>488</v>
      </c>
      <c r="G247" t="s">
        <v>489</v>
      </c>
      <c r="H247" t="s">
        <v>85</v>
      </c>
      <c r="I247">
        <v>1</v>
      </c>
      <c r="J247" s="4">
        <v>45820</v>
      </c>
      <c r="K247" s="4">
        <v>45820</v>
      </c>
      <c r="L247" s="5">
        <v>0.27430555555555558</v>
      </c>
      <c r="M247" s="5">
        <v>0.29236111111111113</v>
      </c>
      <c r="N247">
        <v>55.54081</v>
      </c>
      <c r="O247">
        <v>13.95609</v>
      </c>
      <c r="P247">
        <v>434125</v>
      </c>
      <c r="Q247">
        <v>6155470</v>
      </c>
      <c r="R247" t="s">
        <v>490</v>
      </c>
      <c r="S247">
        <v>1500</v>
      </c>
      <c r="T247" t="s">
        <v>507</v>
      </c>
      <c r="U247" t="s">
        <v>508</v>
      </c>
      <c r="V247" t="s">
        <v>504</v>
      </c>
      <c r="W247" t="s">
        <v>494</v>
      </c>
      <c r="X247" t="s">
        <v>494</v>
      </c>
      <c r="Y247" t="s">
        <v>724</v>
      </c>
      <c r="Z247">
        <v>1</v>
      </c>
      <c r="AA247">
        <v>1</v>
      </c>
      <c r="AD247" t="s">
        <v>510</v>
      </c>
      <c r="AE247" t="s">
        <v>42</v>
      </c>
      <c r="AF247" t="s">
        <v>496</v>
      </c>
      <c r="AG247" t="b">
        <v>0</v>
      </c>
      <c r="AH247" t="b">
        <v>0</v>
      </c>
      <c r="AI247" t="b">
        <v>0</v>
      </c>
      <c r="AK247" t="s">
        <v>497</v>
      </c>
      <c r="AL247" t="b">
        <v>0</v>
      </c>
      <c r="AM247" t="b">
        <v>0</v>
      </c>
    </row>
    <row r="248" spans="1:39">
      <c r="A248" t="s">
        <v>907</v>
      </c>
      <c r="B248" t="b">
        <v>1</v>
      </c>
      <c r="C248">
        <v>103020</v>
      </c>
      <c r="D248" t="s">
        <v>328</v>
      </c>
      <c r="E248" t="s">
        <v>329</v>
      </c>
      <c r="F248" t="s">
        <v>488</v>
      </c>
      <c r="G248" t="s">
        <v>489</v>
      </c>
      <c r="H248" t="s">
        <v>41</v>
      </c>
      <c r="I248">
        <v>1</v>
      </c>
      <c r="J248" s="4">
        <v>46116</v>
      </c>
      <c r="K248" s="4">
        <v>46116</v>
      </c>
      <c r="L248" s="5">
        <v>0.33263888888888887</v>
      </c>
      <c r="M248" s="5">
        <v>0.33263888888888887</v>
      </c>
      <c r="N248">
        <v>55.569319999999998</v>
      </c>
      <c r="O248">
        <v>13.92938</v>
      </c>
      <c r="P248">
        <v>432488</v>
      </c>
      <c r="Q248">
        <v>6158668</v>
      </c>
      <c r="R248" t="s">
        <v>490</v>
      </c>
      <c r="S248">
        <v>593</v>
      </c>
      <c r="T248" t="s">
        <v>549</v>
      </c>
      <c r="U248" t="s">
        <v>508</v>
      </c>
      <c r="V248" t="s">
        <v>504</v>
      </c>
      <c r="W248" t="s">
        <v>494</v>
      </c>
      <c r="X248" t="s">
        <v>494</v>
      </c>
      <c r="Y248" t="s">
        <v>860</v>
      </c>
      <c r="Z248">
        <v>2</v>
      </c>
      <c r="AA248">
        <v>2</v>
      </c>
      <c r="AE248" t="s">
        <v>439</v>
      </c>
      <c r="AF248" t="s">
        <v>496</v>
      </c>
      <c r="AG248" t="b">
        <v>0</v>
      </c>
      <c r="AH248" t="b">
        <v>0</v>
      </c>
      <c r="AI248" t="b">
        <v>0</v>
      </c>
      <c r="AK248" t="s">
        <v>497</v>
      </c>
      <c r="AL248" t="b">
        <v>0</v>
      </c>
      <c r="AM248" t="b">
        <v>0</v>
      </c>
    </row>
    <row r="249" spans="1:39">
      <c r="A249" t="s">
        <v>908</v>
      </c>
      <c r="B249" t="b">
        <v>1</v>
      </c>
      <c r="C249">
        <v>100048</v>
      </c>
      <c r="D249" t="s">
        <v>304</v>
      </c>
      <c r="E249" t="s">
        <v>305</v>
      </c>
      <c r="F249" t="s">
        <v>488</v>
      </c>
      <c r="G249" t="s">
        <v>489</v>
      </c>
      <c r="H249" t="s">
        <v>41</v>
      </c>
      <c r="I249">
        <v>1</v>
      </c>
      <c r="J249" s="4">
        <v>40334</v>
      </c>
      <c r="K249" s="4">
        <v>40334</v>
      </c>
      <c r="L249" s="5">
        <v>0</v>
      </c>
      <c r="M249" s="5">
        <v>0</v>
      </c>
      <c r="N249">
        <v>55.525739999999999</v>
      </c>
      <c r="O249">
        <v>13.93807</v>
      </c>
      <c r="P249">
        <v>432962</v>
      </c>
      <c r="Q249">
        <v>6153810</v>
      </c>
      <c r="R249" t="s">
        <v>490</v>
      </c>
      <c r="S249">
        <v>1981</v>
      </c>
      <c r="T249" t="s">
        <v>524</v>
      </c>
      <c r="U249" t="s">
        <v>525</v>
      </c>
      <c r="V249" t="s">
        <v>504</v>
      </c>
      <c r="W249" t="s">
        <v>494</v>
      </c>
      <c r="X249" t="s">
        <v>494</v>
      </c>
      <c r="Y249" t="s">
        <v>640</v>
      </c>
      <c r="AE249" t="s">
        <v>42</v>
      </c>
      <c r="AF249" t="s">
        <v>496</v>
      </c>
      <c r="AG249" t="b">
        <v>0</v>
      </c>
      <c r="AH249" t="b">
        <v>0</v>
      </c>
      <c r="AI249" t="b">
        <v>0</v>
      </c>
      <c r="AK249" t="s">
        <v>497</v>
      </c>
      <c r="AL249" t="b">
        <v>0</v>
      </c>
      <c r="AM249" t="b">
        <v>0</v>
      </c>
    </row>
    <row r="250" spans="1:39">
      <c r="A250" t="s">
        <v>909</v>
      </c>
      <c r="B250" t="b">
        <v>1</v>
      </c>
      <c r="C250">
        <v>102990</v>
      </c>
      <c r="D250" t="s">
        <v>39</v>
      </c>
      <c r="E250" t="s">
        <v>40</v>
      </c>
      <c r="F250" t="s">
        <v>488</v>
      </c>
      <c r="G250" t="s">
        <v>489</v>
      </c>
      <c r="H250" t="s">
        <v>41</v>
      </c>
      <c r="I250">
        <v>1</v>
      </c>
      <c r="J250" s="4">
        <v>40700</v>
      </c>
      <c r="K250" s="4">
        <v>40700</v>
      </c>
      <c r="L250" s="5">
        <v>0.2951388888888889</v>
      </c>
      <c r="M250" s="5">
        <v>0.32291666666666669</v>
      </c>
      <c r="N250">
        <v>55.525750000000002</v>
      </c>
      <c r="O250">
        <v>13.88649</v>
      </c>
      <c r="P250">
        <v>429706</v>
      </c>
      <c r="Q250">
        <v>6153862</v>
      </c>
      <c r="R250" t="s">
        <v>490</v>
      </c>
      <c r="S250">
        <v>311</v>
      </c>
      <c r="T250" t="s">
        <v>515</v>
      </c>
      <c r="U250" t="s">
        <v>516</v>
      </c>
      <c r="V250" t="s">
        <v>493</v>
      </c>
      <c r="W250" t="s">
        <v>494</v>
      </c>
      <c r="X250" t="s">
        <v>494</v>
      </c>
      <c r="Y250" t="s">
        <v>910</v>
      </c>
      <c r="Z250">
        <v>1</v>
      </c>
      <c r="AA250">
        <v>1</v>
      </c>
      <c r="AE250" t="s">
        <v>42</v>
      </c>
      <c r="AF250" t="s">
        <v>496</v>
      </c>
      <c r="AG250" t="b">
        <v>0</v>
      </c>
      <c r="AH250" t="b">
        <v>0</v>
      </c>
      <c r="AI250" t="b">
        <v>0</v>
      </c>
      <c r="AK250" t="s">
        <v>497</v>
      </c>
      <c r="AL250" t="b">
        <v>0</v>
      </c>
      <c r="AM250" t="b">
        <v>0</v>
      </c>
    </row>
    <row r="251" spans="1:39">
      <c r="A251" t="s">
        <v>911</v>
      </c>
      <c r="B251" t="b">
        <v>1</v>
      </c>
      <c r="C251">
        <v>102990</v>
      </c>
      <c r="D251" t="s">
        <v>39</v>
      </c>
      <c r="E251" t="s">
        <v>40</v>
      </c>
      <c r="F251" t="s">
        <v>488</v>
      </c>
      <c r="G251" t="s">
        <v>489</v>
      </c>
      <c r="H251" t="s">
        <v>41</v>
      </c>
      <c r="I251">
        <v>1</v>
      </c>
      <c r="J251" s="4">
        <v>39604</v>
      </c>
      <c r="K251" s="4">
        <v>39604</v>
      </c>
      <c r="L251" s="5">
        <v>0.68055555555555558</v>
      </c>
      <c r="M251" s="5">
        <v>0.74305555555555558</v>
      </c>
      <c r="N251">
        <v>55.527650000000001</v>
      </c>
      <c r="O251">
        <v>13.900119999999999</v>
      </c>
      <c r="P251">
        <v>430570</v>
      </c>
      <c r="Q251">
        <v>6154060</v>
      </c>
      <c r="R251" t="s">
        <v>490</v>
      </c>
      <c r="S251">
        <v>250</v>
      </c>
      <c r="T251" t="s">
        <v>578</v>
      </c>
      <c r="U251" t="s">
        <v>525</v>
      </c>
      <c r="V251" t="s">
        <v>504</v>
      </c>
      <c r="W251" t="s">
        <v>494</v>
      </c>
      <c r="X251" t="s">
        <v>494</v>
      </c>
      <c r="Y251" t="s">
        <v>828</v>
      </c>
      <c r="Z251">
        <v>1</v>
      </c>
      <c r="AA251">
        <v>1</v>
      </c>
      <c r="AE251" t="s">
        <v>42</v>
      </c>
      <c r="AF251" t="s">
        <v>496</v>
      </c>
      <c r="AG251" t="b">
        <v>0</v>
      </c>
      <c r="AH251" t="b">
        <v>0</v>
      </c>
      <c r="AI251" t="b">
        <v>0</v>
      </c>
      <c r="AK251" t="s">
        <v>497</v>
      </c>
      <c r="AL251" t="b">
        <v>0</v>
      </c>
      <c r="AM251" t="b">
        <v>0</v>
      </c>
    </row>
    <row r="252" spans="1:39">
      <c r="A252" t="s">
        <v>912</v>
      </c>
      <c r="B252" t="b">
        <v>1</v>
      </c>
      <c r="C252">
        <v>102927</v>
      </c>
      <c r="D252" t="s">
        <v>58</v>
      </c>
      <c r="E252" t="s">
        <v>59</v>
      </c>
      <c r="F252" t="s">
        <v>488</v>
      </c>
      <c r="G252" t="s">
        <v>489</v>
      </c>
      <c r="H252" t="s">
        <v>46</v>
      </c>
      <c r="I252">
        <v>1</v>
      </c>
      <c r="J252" s="4">
        <v>38886</v>
      </c>
      <c r="K252" s="4">
        <v>38886</v>
      </c>
      <c r="L252" s="5">
        <v>0</v>
      </c>
      <c r="M252" s="5">
        <v>0</v>
      </c>
      <c r="N252">
        <v>55.54081</v>
      </c>
      <c r="O252">
        <v>13.95609</v>
      </c>
      <c r="P252">
        <v>434125</v>
      </c>
      <c r="Q252">
        <v>6155470</v>
      </c>
      <c r="R252" t="s">
        <v>490</v>
      </c>
      <c r="S252">
        <v>1500</v>
      </c>
      <c r="T252" t="s">
        <v>507</v>
      </c>
      <c r="U252" t="s">
        <v>508</v>
      </c>
      <c r="V252" t="s">
        <v>504</v>
      </c>
      <c r="W252" t="s">
        <v>494</v>
      </c>
      <c r="X252" t="s">
        <v>494</v>
      </c>
      <c r="Y252" t="s">
        <v>741</v>
      </c>
      <c r="Z252">
        <v>2</v>
      </c>
      <c r="AA252">
        <v>2</v>
      </c>
      <c r="AC252" t="s">
        <v>512</v>
      </c>
      <c r="AE252" t="s">
        <v>43</v>
      </c>
      <c r="AF252" t="s">
        <v>496</v>
      </c>
      <c r="AG252" t="b">
        <v>0</v>
      </c>
      <c r="AH252" t="b">
        <v>0</v>
      </c>
      <c r="AI252" t="b">
        <v>0</v>
      </c>
      <c r="AK252" t="s">
        <v>497</v>
      </c>
      <c r="AL252" t="b">
        <v>0</v>
      </c>
      <c r="AM252" t="b">
        <v>0</v>
      </c>
    </row>
    <row r="253" spans="1:39">
      <c r="A253" t="s">
        <v>913</v>
      </c>
      <c r="B253" t="b">
        <v>1</v>
      </c>
      <c r="C253">
        <v>103037</v>
      </c>
      <c r="D253" t="s">
        <v>368</v>
      </c>
      <c r="E253" t="s">
        <v>369</v>
      </c>
      <c r="F253" t="s">
        <v>488</v>
      </c>
      <c r="G253" t="s">
        <v>489</v>
      </c>
      <c r="H253" t="s">
        <v>85</v>
      </c>
      <c r="I253">
        <v>1</v>
      </c>
      <c r="J253" s="4">
        <v>39183</v>
      </c>
      <c r="K253" s="4">
        <v>39183</v>
      </c>
      <c r="L253" s="5">
        <v>0.41666666666666669</v>
      </c>
      <c r="M253" s="5">
        <v>0.41666666666666669</v>
      </c>
      <c r="N253">
        <v>55.555309999999999</v>
      </c>
      <c r="O253">
        <v>13.8569</v>
      </c>
      <c r="P253">
        <v>427893</v>
      </c>
      <c r="Q253">
        <v>6157182</v>
      </c>
      <c r="R253" t="s">
        <v>490</v>
      </c>
      <c r="S253">
        <v>140</v>
      </c>
      <c r="T253" t="s">
        <v>491</v>
      </c>
      <c r="U253" t="s">
        <v>492</v>
      </c>
      <c r="V253" t="s">
        <v>493</v>
      </c>
      <c r="W253" t="s">
        <v>494</v>
      </c>
      <c r="X253" t="s">
        <v>494</v>
      </c>
      <c r="Y253" t="s">
        <v>914</v>
      </c>
      <c r="Z253">
        <v>7</v>
      </c>
      <c r="AA253">
        <v>7</v>
      </c>
      <c r="AE253" t="s">
        <v>42</v>
      </c>
      <c r="AF253" t="s">
        <v>496</v>
      </c>
      <c r="AG253" t="b">
        <v>0</v>
      </c>
      <c r="AH253" t="b">
        <v>0</v>
      </c>
      <c r="AI253" t="b">
        <v>0</v>
      </c>
      <c r="AK253" t="s">
        <v>497</v>
      </c>
      <c r="AL253" t="b">
        <v>0</v>
      </c>
      <c r="AM253" t="b">
        <v>0</v>
      </c>
    </row>
    <row r="254" spans="1:39">
      <c r="A254" t="s">
        <v>915</v>
      </c>
      <c r="B254" t="b">
        <v>1</v>
      </c>
      <c r="C254">
        <v>100129</v>
      </c>
      <c r="D254" t="s">
        <v>404</v>
      </c>
      <c r="E254" t="s">
        <v>405</v>
      </c>
      <c r="F254" t="s">
        <v>488</v>
      </c>
      <c r="G254" t="s">
        <v>489</v>
      </c>
      <c r="H254" t="s">
        <v>81</v>
      </c>
      <c r="I254">
        <v>1</v>
      </c>
      <c r="J254" s="4">
        <v>39355</v>
      </c>
      <c r="K254" s="4">
        <v>39355</v>
      </c>
      <c r="L254" s="5">
        <v>0</v>
      </c>
      <c r="M254" s="5">
        <v>0</v>
      </c>
      <c r="N254">
        <v>55.547759999999997</v>
      </c>
      <c r="O254">
        <v>13.86754</v>
      </c>
      <c r="P254">
        <v>428550</v>
      </c>
      <c r="Q254">
        <v>6156331</v>
      </c>
      <c r="R254" t="s">
        <v>490</v>
      </c>
      <c r="S254">
        <v>627</v>
      </c>
      <c r="T254" t="s">
        <v>541</v>
      </c>
      <c r="U254" t="s">
        <v>525</v>
      </c>
      <c r="V254" t="s">
        <v>504</v>
      </c>
      <c r="W254" t="s">
        <v>494</v>
      </c>
      <c r="X254" t="s">
        <v>494</v>
      </c>
      <c r="Y254" t="s">
        <v>916</v>
      </c>
      <c r="Z254">
        <v>1</v>
      </c>
      <c r="AA254">
        <v>1</v>
      </c>
      <c r="AE254" t="s">
        <v>42</v>
      </c>
      <c r="AF254" t="s">
        <v>496</v>
      </c>
      <c r="AG254" t="b">
        <v>0</v>
      </c>
      <c r="AH254" t="b">
        <v>0</v>
      </c>
      <c r="AI254" t="b">
        <v>0</v>
      </c>
      <c r="AK254" t="s">
        <v>497</v>
      </c>
      <c r="AL254" t="b">
        <v>0</v>
      </c>
      <c r="AM254" t="b">
        <v>0</v>
      </c>
    </row>
    <row r="255" spans="1:39">
      <c r="A255" t="s">
        <v>917</v>
      </c>
      <c r="B255" t="b">
        <v>1</v>
      </c>
      <c r="C255">
        <v>100048</v>
      </c>
      <c r="D255" t="s">
        <v>304</v>
      </c>
      <c r="E255" t="s">
        <v>305</v>
      </c>
      <c r="F255" t="s">
        <v>488</v>
      </c>
      <c r="G255" t="s">
        <v>489</v>
      </c>
      <c r="H255" t="s">
        <v>41</v>
      </c>
      <c r="I255">
        <v>1</v>
      </c>
      <c r="J255" s="4">
        <v>40969</v>
      </c>
      <c r="K255" s="4">
        <v>40969</v>
      </c>
      <c r="L255" s="5">
        <v>0.31041666666666667</v>
      </c>
      <c r="M255" s="5">
        <v>0.34027777777777779</v>
      </c>
      <c r="N255">
        <v>55.547759999999997</v>
      </c>
      <c r="O255">
        <v>13.86754</v>
      </c>
      <c r="P255">
        <v>428550</v>
      </c>
      <c r="Q255">
        <v>6156331</v>
      </c>
      <c r="R255" t="s">
        <v>490</v>
      </c>
      <c r="S255">
        <v>627</v>
      </c>
      <c r="T255" t="s">
        <v>541</v>
      </c>
      <c r="U255" t="s">
        <v>525</v>
      </c>
      <c r="V255" t="s">
        <v>504</v>
      </c>
      <c r="W255" t="s">
        <v>494</v>
      </c>
      <c r="X255" t="s">
        <v>494</v>
      </c>
      <c r="Y255" t="s">
        <v>500</v>
      </c>
      <c r="Z255">
        <v>1</v>
      </c>
      <c r="AA255">
        <v>1</v>
      </c>
      <c r="AD255" t="s">
        <v>510</v>
      </c>
      <c r="AE255" t="s">
        <v>42</v>
      </c>
      <c r="AF255" t="s">
        <v>496</v>
      </c>
      <c r="AG255" t="b">
        <v>0</v>
      </c>
      <c r="AH255" t="b">
        <v>0</v>
      </c>
      <c r="AI255" t="b">
        <v>0</v>
      </c>
      <c r="AK255" t="s">
        <v>497</v>
      </c>
      <c r="AL255" t="b">
        <v>0</v>
      </c>
      <c r="AM255" t="b">
        <v>0</v>
      </c>
    </row>
    <row r="256" spans="1:39">
      <c r="A256" t="s">
        <v>918</v>
      </c>
      <c r="B256" t="b">
        <v>1</v>
      </c>
      <c r="C256">
        <v>102977</v>
      </c>
      <c r="D256" t="s">
        <v>47</v>
      </c>
      <c r="E256" t="s">
        <v>48</v>
      </c>
      <c r="F256" t="s">
        <v>488</v>
      </c>
      <c r="G256" t="s">
        <v>489</v>
      </c>
      <c r="H256" t="s">
        <v>46</v>
      </c>
      <c r="I256">
        <v>1</v>
      </c>
      <c r="J256" s="4">
        <v>42152</v>
      </c>
      <c r="K256" s="4">
        <v>42152</v>
      </c>
      <c r="L256" s="5">
        <v>0.45833333333333331</v>
      </c>
      <c r="M256" s="5">
        <v>0.45833333333333331</v>
      </c>
      <c r="N256">
        <v>55.555309999999999</v>
      </c>
      <c r="O256">
        <v>13.8569</v>
      </c>
      <c r="P256">
        <v>427893</v>
      </c>
      <c r="Q256">
        <v>6157182</v>
      </c>
      <c r="R256" t="s">
        <v>490</v>
      </c>
      <c r="S256">
        <v>140</v>
      </c>
      <c r="T256" t="s">
        <v>491</v>
      </c>
      <c r="U256" t="s">
        <v>492</v>
      </c>
      <c r="V256" t="s">
        <v>493</v>
      </c>
      <c r="W256" t="s">
        <v>494</v>
      </c>
      <c r="X256" t="s">
        <v>494</v>
      </c>
      <c r="Y256" t="s">
        <v>919</v>
      </c>
      <c r="Z256">
        <v>1</v>
      </c>
      <c r="AA256">
        <v>1</v>
      </c>
      <c r="AE256" t="s">
        <v>42</v>
      </c>
      <c r="AF256" t="s">
        <v>496</v>
      </c>
      <c r="AG256" t="b">
        <v>0</v>
      </c>
      <c r="AH256" t="b">
        <v>0</v>
      </c>
      <c r="AI256" t="b">
        <v>0</v>
      </c>
      <c r="AK256" t="s">
        <v>497</v>
      </c>
      <c r="AL256" t="b">
        <v>0</v>
      </c>
      <c r="AM256" t="b">
        <v>0</v>
      </c>
    </row>
    <row r="257" spans="1:39">
      <c r="A257" t="s">
        <v>920</v>
      </c>
      <c r="B257" t="b">
        <v>1</v>
      </c>
      <c r="C257">
        <v>100049</v>
      </c>
      <c r="D257" t="s">
        <v>295</v>
      </c>
      <c r="E257" t="s">
        <v>296</v>
      </c>
      <c r="F257" t="s">
        <v>488</v>
      </c>
      <c r="G257" t="s">
        <v>489</v>
      </c>
      <c r="H257" t="s">
        <v>46</v>
      </c>
      <c r="I257">
        <v>1</v>
      </c>
      <c r="J257" s="4">
        <v>42047</v>
      </c>
      <c r="K257" s="4">
        <v>42047</v>
      </c>
      <c r="L257" s="5">
        <v>0</v>
      </c>
      <c r="M257" s="5">
        <v>0</v>
      </c>
      <c r="N257">
        <v>55.555309999999999</v>
      </c>
      <c r="O257">
        <v>13.8569</v>
      </c>
      <c r="P257">
        <v>427893</v>
      </c>
      <c r="Q257">
        <v>6157182</v>
      </c>
      <c r="R257" t="s">
        <v>490</v>
      </c>
      <c r="S257">
        <v>140</v>
      </c>
      <c r="T257" t="s">
        <v>491</v>
      </c>
      <c r="U257" t="s">
        <v>492</v>
      </c>
      <c r="V257" t="s">
        <v>493</v>
      </c>
      <c r="W257" t="s">
        <v>494</v>
      </c>
      <c r="X257" t="s">
        <v>494</v>
      </c>
      <c r="Y257" t="s">
        <v>921</v>
      </c>
      <c r="Z257">
        <v>1</v>
      </c>
      <c r="AA257">
        <v>1</v>
      </c>
      <c r="AD257" t="s">
        <v>510</v>
      </c>
      <c r="AE257" t="s">
        <v>42</v>
      </c>
      <c r="AF257" t="s">
        <v>496</v>
      </c>
      <c r="AG257" t="b">
        <v>0</v>
      </c>
      <c r="AH257" t="b">
        <v>0</v>
      </c>
      <c r="AI257" t="b">
        <v>0</v>
      </c>
      <c r="AK257" t="s">
        <v>497</v>
      </c>
      <c r="AL257" t="b">
        <v>0</v>
      </c>
      <c r="AM257" t="b">
        <v>0</v>
      </c>
    </row>
    <row r="258" spans="1:39">
      <c r="A258" t="s">
        <v>922</v>
      </c>
      <c r="B258" t="b">
        <v>1</v>
      </c>
      <c r="C258">
        <v>102980</v>
      </c>
      <c r="D258" t="s">
        <v>354</v>
      </c>
      <c r="E258" t="s">
        <v>355</v>
      </c>
      <c r="F258" t="s">
        <v>488</v>
      </c>
      <c r="G258" t="s">
        <v>489</v>
      </c>
      <c r="H258" t="s">
        <v>41</v>
      </c>
      <c r="I258">
        <v>1</v>
      </c>
      <c r="J258" s="4">
        <v>41828</v>
      </c>
      <c r="K258" s="4">
        <v>41828</v>
      </c>
      <c r="L258" s="5">
        <v>0</v>
      </c>
      <c r="M258" s="5">
        <v>0</v>
      </c>
      <c r="N258">
        <v>55.555309999999999</v>
      </c>
      <c r="O258">
        <v>13.8569</v>
      </c>
      <c r="P258">
        <v>427893</v>
      </c>
      <c r="Q258">
        <v>6157182</v>
      </c>
      <c r="R258" t="s">
        <v>490</v>
      </c>
      <c r="S258">
        <v>140</v>
      </c>
      <c r="T258" t="s">
        <v>491</v>
      </c>
      <c r="U258" t="s">
        <v>492</v>
      </c>
      <c r="V258" t="s">
        <v>493</v>
      </c>
      <c r="W258" t="s">
        <v>494</v>
      </c>
      <c r="X258" t="s">
        <v>494</v>
      </c>
      <c r="Y258" t="s">
        <v>495</v>
      </c>
      <c r="Z258">
        <v>2</v>
      </c>
      <c r="AA258">
        <v>2</v>
      </c>
      <c r="AE258" t="s">
        <v>431</v>
      </c>
      <c r="AF258" t="s">
        <v>496</v>
      </c>
      <c r="AG258" t="b">
        <v>0</v>
      </c>
      <c r="AH258" t="b">
        <v>0</v>
      </c>
      <c r="AI258" t="b">
        <v>0</v>
      </c>
      <c r="AK258" t="s">
        <v>497</v>
      </c>
      <c r="AL258" t="b">
        <v>0</v>
      </c>
      <c r="AM258" t="b">
        <v>0</v>
      </c>
    </row>
    <row r="259" spans="1:39">
      <c r="A259" t="s">
        <v>923</v>
      </c>
      <c r="B259" t="b">
        <v>1</v>
      </c>
      <c r="C259">
        <v>100056</v>
      </c>
      <c r="D259" t="s">
        <v>306</v>
      </c>
      <c r="E259" t="s">
        <v>307</v>
      </c>
      <c r="F259" t="s">
        <v>488</v>
      </c>
      <c r="G259" t="s">
        <v>489</v>
      </c>
      <c r="H259" t="s">
        <v>46</v>
      </c>
      <c r="I259">
        <v>1</v>
      </c>
      <c r="J259" s="4">
        <v>43590</v>
      </c>
      <c r="K259" s="4">
        <v>43590</v>
      </c>
      <c r="L259" s="5">
        <v>0.64583333333333337</v>
      </c>
      <c r="M259" s="5">
        <v>0.65972222222222221</v>
      </c>
      <c r="N259">
        <v>55.530740000000002</v>
      </c>
      <c r="O259">
        <v>13.879630000000001</v>
      </c>
      <c r="P259">
        <v>429282</v>
      </c>
      <c r="Q259">
        <v>6154424</v>
      </c>
      <c r="R259" t="s">
        <v>490</v>
      </c>
      <c r="S259">
        <v>310</v>
      </c>
      <c r="T259" t="s">
        <v>499</v>
      </c>
      <c r="U259" t="s">
        <v>492</v>
      </c>
      <c r="V259" t="s">
        <v>493</v>
      </c>
      <c r="W259" t="s">
        <v>494</v>
      </c>
      <c r="X259" t="s">
        <v>494</v>
      </c>
      <c r="Y259" t="s">
        <v>846</v>
      </c>
      <c r="Z259">
        <v>1</v>
      </c>
      <c r="AA259">
        <v>1</v>
      </c>
      <c r="AE259" t="s">
        <v>538</v>
      </c>
      <c r="AF259" t="s">
        <v>496</v>
      </c>
      <c r="AG259" t="b">
        <v>0</v>
      </c>
      <c r="AH259" t="b">
        <v>0</v>
      </c>
      <c r="AI259" t="b">
        <v>0</v>
      </c>
      <c r="AK259" t="s">
        <v>497</v>
      </c>
      <c r="AL259" t="b">
        <v>0</v>
      </c>
      <c r="AM259" t="b">
        <v>0</v>
      </c>
    </row>
    <row r="260" spans="1:39">
      <c r="A260" t="s">
        <v>924</v>
      </c>
      <c r="B260" t="b">
        <v>1</v>
      </c>
      <c r="C260">
        <v>102950</v>
      </c>
      <c r="D260" t="s">
        <v>150</v>
      </c>
      <c r="E260" t="s">
        <v>151</v>
      </c>
      <c r="F260" t="s">
        <v>488</v>
      </c>
      <c r="G260" t="s">
        <v>489</v>
      </c>
      <c r="H260" t="s">
        <v>41</v>
      </c>
      <c r="I260">
        <v>1</v>
      </c>
      <c r="J260" s="4">
        <v>43953</v>
      </c>
      <c r="K260" s="4">
        <v>43953</v>
      </c>
      <c r="L260" s="5">
        <v>0.48958333333333331</v>
      </c>
      <c r="M260" s="5">
        <v>0.5625</v>
      </c>
      <c r="N260">
        <v>55.515189999999997</v>
      </c>
      <c r="O260">
        <v>13.899330000000001</v>
      </c>
      <c r="P260">
        <v>430498</v>
      </c>
      <c r="Q260">
        <v>6152673</v>
      </c>
      <c r="R260" t="s">
        <v>490</v>
      </c>
      <c r="S260">
        <v>125</v>
      </c>
      <c r="T260" t="s">
        <v>552</v>
      </c>
      <c r="U260" t="s">
        <v>525</v>
      </c>
      <c r="V260" t="s">
        <v>504</v>
      </c>
      <c r="W260" t="s">
        <v>494</v>
      </c>
      <c r="X260" t="s">
        <v>494</v>
      </c>
      <c r="Y260" t="s">
        <v>536</v>
      </c>
      <c r="Z260">
        <v>2</v>
      </c>
      <c r="AA260">
        <v>2</v>
      </c>
      <c r="AD260" t="s">
        <v>527</v>
      </c>
      <c r="AE260" t="s">
        <v>538</v>
      </c>
      <c r="AF260" t="s">
        <v>496</v>
      </c>
      <c r="AG260" t="b">
        <v>0</v>
      </c>
      <c r="AH260" t="b">
        <v>0</v>
      </c>
      <c r="AI260" t="b">
        <v>0</v>
      </c>
      <c r="AK260" t="s">
        <v>497</v>
      </c>
      <c r="AL260" t="b">
        <v>0</v>
      </c>
      <c r="AM260" t="b">
        <v>0</v>
      </c>
    </row>
    <row r="261" spans="1:39">
      <c r="A261" t="s">
        <v>925</v>
      </c>
      <c r="B261" t="b">
        <v>1</v>
      </c>
      <c r="C261">
        <v>103055</v>
      </c>
      <c r="D261" t="s">
        <v>413</v>
      </c>
      <c r="E261" t="s">
        <v>414</v>
      </c>
      <c r="F261" t="s">
        <v>488</v>
      </c>
      <c r="G261" t="s">
        <v>489</v>
      </c>
      <c r="H261" t="s">
        <v>41</v>
      </c>
      <c r="I261">
        <v>1</v>
      </c>
      <c r="J261" s="4">
        <v>45088</v>
      </c>
      <c r="K261" s="4">
        <v>45088</v>
      </c>
      <c r="L261" s="5">
        <v>0.54166666666666663</v>
      </c>
      <c r="M261" s="5">
        <v>0.625</v>
      </c>
      <c r="N261">
        <v>55.527650000000001</v>
      </c>
      <c r="O261">
        <v>13.900119999999999</v>
      </c>
      <c r="P261">
        <v>430570</v>
      </c>
      <c r="Q261">
        <v>6154060</v>
      </c>
      <c r="R261" t="s">
        <v>490</v>
      </c>
      <c r="S261">
        <v>250</v>
      </c>
      <c r="T261" t="s">
        <v>578</v>
      </c>
      <c r="U261" t="s">
        <v>525</v>
      </c>
      <c r="V261" t="s">
        <v>504</v>
      </c>
      <c r="W261" t="s">
        <v>494</v>
      </c>
      <c r="X261" t="s">
        <v>494</v>
      </c>
      <c r="Y261" t="s">
        <v>926</v>
      </c>
      <c r="Z261">
        <v>1</v>
      </c>
      <c r="AA261">
        <v>1</v>
      </c>
      <c r="AE261" t="s">
        <v>42</v>
      </c>
      <c r="AF261" t="s">
        <v>496</v>
      </c>
      <c r="AG261" t="b">
        <v>0</v>
      </c>
      <c r="AH261" t="b">
        <v>0</v>
      </c>
      <c r="AI261" t="b">
        <v>0</v>
      </c>
      <c r="AK261" t="s">
        <v>497</v>
      </c>
      <c r="AL261" t="b">
        <v>0</v>
      </c>
      <c r="AM261" t="b">
        <v>0</v>
      </c>
    </row>
    <row r="262" spans="1:39">
      <c r="A262" t="s">
        <v>927</v>
      </c>
      <c r="B262" t="b">
        <v>1</v>
      </c>
      <c r="C262">
        <v>102623</v>
      </c>
      <c r="D262" t="s">
        <v>53</v>
      </c>
      <c r="E262" t="s">
        <v>54</v>
      </c>
      <c r="F262" t="s">
        <v>488</v>
      </c>
      <c r="G262" t="s">
        <v>489</v>
      </c>
      <c r="H262" t="s">
        <v>46</v>
      </c>
      <c r="I262">
        <v>1</v>
      </c>
      <c r="J262" s="4">
        <v>45010</v>
      </c>
      <c r="K262" s="4">
        <v>45010</v>
      </c>
      <c r="N262">
        <v>55.556199999999997</v>
      </c>
      <c r="O262">
        <v>13.93919</v>
      </c>
      <c r="P262">
        <v>433085</v>
      </c>
      <c r="Q262">
        <v>6157198</v>
      </c>
      <c r="R262" t="s">
        <v>490</v>
      </c>
      <c r="S262">
        <v>25</v>
      </c>
      <c r="T262" t="s">
        <v>554</v>
      </c>
      <c r="U262" t="s">
        <v>508</v>
      </c>
      <c r="V262" t="s">
        <v>504</v>
      </c>
      <c r="W262" t="s">
        <v>494</v>
      </c>
      <c r="X262" t="s">
        <v>494</v>
      </c>
      <c r="Y262" t="s">
        <v>555</v>
      </c>
      <c r="Z262">
        <v>2</v>
      </c>
      <c r="AA262">
        <v>2</v>
      </c>
      <c r="AD262" t="s">
        <v>510</v>
      </c>
      <c r="AE262" t="s">
        <v>42</v>
      </c>
      <c r="AF262" t="s">
        <v>496</v>
      </c>
      <c r="AG262" t="b">
        <v>0</v>
      </c>
      <c r="AH262" t="b">
        <v>0</v>
      </c>
      <c r="AI262" t="b">
        <v>0</v>
      </c>
      <c r="AK262" t="s">
        <v>497</v>
      </c>
      <c r="AL262" t="b">
        <v>0</v>
      </c>
      <c r="AM262" t="b">
        <v>0</v>
      </c>
    </row>
    <row r="263" spans="1:39">
      <c r="A263" t="s">
        <v>928</v>
      </c>
      <c r="B263" t="b">
        <v>1</v>
      </c>
      <c r="C263">
        <v>100124</v>
      </c>
      <c r="D263" t="s">
        <v>352</v>
      </c>
      <c r="E263" t="s">
        <v>353</v>
      </c>
      <c r="F263" t="s">
        <v>488</v>
      </c>
      <c r="G263" t="s">
        <v>489</v>
      </c>
      <c r="H263" t="s">
        <v>81</v>
      </c>
      <c r="I263">
        <v>1</v>
      </c>
      <c r="J263" s="4">
        <v>45073</v>
      </c>
      <c r="K263" s="4">
        <v>45073</v>
      </c>
      <c r="N263">
        <v>55.548259999999999</v>
      </c>
      <c r="O263">
        <v>13.96992</v>
      </c>
      <c r="P263">
        <v>435010</v>
      </c>
      <c r="Q263">
        <v>6156285</v>
      </c>
      <c r="R263" t="s">
        <v>490</v>
      </c>
      <c r="S263">
        <v>25</v>
      </c>
      <c r="T263" t="s">
        <v>737</v>
      </c>
      <c r="U263" t="s">
        <v>508</v>
      </c>
      <c r="V263" t="s">
        <v>504</v>
      </c>
      <c r="W263" t="s">
        <v>494</v>
      </c>
      <c r="X263" t="s">
        <v>494</v>
      </c>
      <c r="Y263" t="s">
        <v>738</v>
      </c>
      <c r="Z263">
        <v>20</v>
      </c>
      <c r="AA263">
        <v>20</v>
      </c>
      <c r="AE263" t="s">
        <v>62</v>
      </c>
      <c r="AF263" t="s">
        <v>496</v>
      </c>
      <c r="AG263" t="b">
        <v>0</v>
      </c>
      <c r="AH263" t="b">
        <v>0</v>
      </c>
      <c r="AI263" t="b">
        <v>0</v>
      </c>
      <c r="AK263" t="s">
        <v>497</v>
      </c>
      <c r="AL263" t="b">
        <v>0</v>
      </c>
      <c r="AM263" t="b">
        <v>0</v>
      </c>
    </row>
    <row r="264" spans="1:39">
      <c r="A264" t="s">
        <v>929</v>
      </c>
      <c r="B264" t="b">
        <v>1</v>
      </c>
      <c r="C264">
        <v>103037</v>
      </c>
      <c r="D264" t="s">
        <v>368</v>
      </c>
      <c r="E264" t="s">
        <v>369</v>
      </c>
      <c r="F264" t="s">
        <v>488</v>
      </c>
      <c r="G264" t="s">
        <v>489</v>
      </c>
      <c r="H264" t="s">
        <v>85</v>
      </c>
      <c r="I264">
        <v>1</v>
      </c>
      <c r="J264" s="4">
        <v>42510</v>
      </c>
      <c r="K264" s="4">
        <v>42510</v>
      </c>
      <c r="L264" s="5">
        <v>0.47916666666666669</v>
      </c>
      <c r="M264" s="5">
        <v>0.54166666666666663</v>
      </c>
      <c r="N264">
        <v>55.553350000000002</v>
      </c>
      <c r="O264">
        <v>13.900980000000001</v>
      </c>
      <c r="P264">
        <v>430670</v>
      </c>
      <c r="Q264">
        <v>6156919</v>
      </c>
      <c r="R264" t="s">
        <v>490</v>
      </c>
      <c r="S264">
        <v>150</v>
      </c>
      <c r="T264" t="s">
        <v>930</v>
      </c>
      <c r="U264" t="s">
        <v>532</v>
      </c>
      <c r="V264" t="s">
        <v>504</v>
      </c>
      <c r="W264" t="s">
        <v>494</v>
      </c>
      <c r="X264" t="s">
        <v>494</v>
      </c>
      <c r="Y264" t="s">
        <v>536</v>
      </c>
      <c r="Z264">
        <v>2</v>
      </c>
      <c r="AA264">
        <v>2</v>
      </c>
      <c r="AE264" t="s">
        <v>431</v>
      </c>
      <c r="AF264" t="s">
        <v>496</v>
      </c>
      <c r="AG264" t="b">
        <v>0</v>
      </c>
      <c r="AH264" t="b">
        <v>0</v>
      </c>
      <c r="AI264" t="b">
        <v>0</v>
      </c>
      <c r="AK264" t="s">
        <v>497</v>
      </c>
      <c r="AL264" t="b">
        <v>0</v>
      </c>
      <c r="AM264" t="b">
        <v>0</v>
      </c>
    </row>
    <row r="265" spans="1:39">
      <c r="A265" t="s">
        <v>931</v>
      </c>
      <c r="B265" t="b">
        <v>1</v>
      </c>
      <c r="C265">
        <v>103020</v>
      </c>
      <c r="D265" t="s">
        <v>328</v>
      </c>
      <c r="E265" t="s">
        <v>329</v>
      </c>
      <c r="F265" t="s">
        <v>488</v>
      </c>
      <c r="G265" t="s">
        <v>489</v>
      </c>
      <c r="H265" t="s">
        <v>41</v>
      </c>
      <c r="I265">
        <v>1</v>
      </c>
      <c r="J265" s="4">
        <v>43142</v>
      </c>
      <c r="K265" s="4">
        <v>43142</v>
      </c>
      <c r="L265" s="5">
        <v>0.41875000000000001</v>
      </c>
      <c r="M265" s="5">
        <v>0.44444444444444442</v>
      </c>
      <c r="N265">
        <v>55.547759999999997</v>
      </c>
      <c r="O265">
        <v>13.86754</v>
      </c>
      <c r="P265">
        <v>428550</v>
      </c>
      <c r="Q265">
        <v>6156331</v>
      </c>
      <c r="R265" t="s">
        <v>490</v>
      </c>
      <c r="S265">
        <v>627</v>
      </c>
      <c r="T265" t="s">
        <v>541</v>
      </c>
      <c r="U265" t="s">
        <v>525</v>
      </c>
      <c r="V265" t="s">
        <v>504</v>
      </c>
      <c r="W265" t="s">
        <v>494</v>
      </c>
      <c r="X265" t="s">
        <v>494</v>
      </c>
      <c r="Y265" t="s">
        <v>932</v>
      </c>
      <c r="Z265">
        <v>1</v>
      </c>
      <c r="AA265">
        <v>1</v>
      </c>
      <c r="AE265" t="s">
        <v>42</v>
      </c>
      <c r="AF265" t="s">
        <v>496</v>
      </c>
      <c r="AG265" t="b">
        <v>0</v>
      </c>
      <c r="AH265" t="b">
        <v>0</v>
      </c>
      <c r="AI265" t="b">
        <v>0</v>
      </c>
      <c r="AK265" t="s">
        <v>497</v>
      </c>
      <c r="AL265" t="b">
        <v>0</v>
      </c>
      <c r="AM265" t="b">
        <v>0</v>
      </c>
    </row>
    <row r="266" spans="1:39">
      <c r="A266" t="s">
        <v>933</v>
      </c>
      <c r="B266" t="b">
        <v>1</v>
      </c>
      <c r="C266">
        <v>102950</v>
      </c>
      <c r="D266" t="s">
        <v>150</v>
      </c>
      <c r="E266" t="s">
        <v>151</v>
      </c>
      <c r="F266" t="s">
        <v>488</v>
      </c>
      <c r="G266" t="s">
        <v>489</v>
      </c>
      <c r="H266" t="s">
        <v>41</v>
      </c>
      <c r="I266">
        <v>1</v>
      </c>
      <c r="J266" s="4">
        <v>43943</v>
      </c>
      <c r="K266" s="4">
        <v>43943</v>
      </c>
      <c r="L266" s="5">
        <v>0.54166666666666663</v>
      </c>
      <c r="M266" s="5">
        <v>0.57638888888888884</v>
      </c>
      <c r="N266">
        <v>55.515189999999997</v>
      </c>
      <c r="O266">
        <v>13.899330000000001</v>
      </c>
      <c r="P266">
        <v>430498</v>
      </c>
      <c r="Q266">
        <v>6152673</v>
      </c>
      <c r="R266" t="s">
        <v>490</v>
      </c>
      <c r="S266">
        <v>125</v>
      </c>
      <c r="T266" t="s">
        <v>552</v>
      </c>
      <c r="U266" t="s">
        <v>525</v>
      </c>
      <c r="V266" t="s">
        <v>504</v>
      </c>
      <c r="W266" t="s">
        <v>494</v>
      </c>
      <c r="X266" t="s">
        <v>494</v>
      </c>
      <c r="Y266" t="s">
        <v>536</v>
      </c>
      <c r="Z266">
        <v>2</v>
      </c>
      <c r="AA266">
        <v>2</v>
      </c>
      <c r="AE266" t="s">
        <v>51</v>
      </c>
      <c r="AF266" t="s">
        <v>496</v>
      </c>
      <c r="AG266" t="b">
        <v>0</v>
      </c>
      <c r="AH266" t="b">
        <v>0</v>
      </c>
      <c r="AI266" t="b">
        <v>0</v>
      </c>
      <c r="AK266" t="s">
        <v>497</v>
      </c>
      <c r="AL266" t="b">
        <v>0</v>
      </c>
      <c r="AM266" t="b">
        <v>0</v>
      </c>
    </row>
    <row r="267" spans="1:39">
      <c r="A267" t="s">
        <v>934</v>
      </c>
      <c r="B267" t="b">
        <v>1</v>
      </c>
      <c r="C267">
        <v>102977</v>
      </c>
      <c r="D267" t="s">
        <v>47</v>
      </c>
      <c r="E267" t="s">
        <v>48</v>
      </c>
      <c r="F267" t="s">
        <v>488</v>
      </c>
      <c r="G267" t="s">
        <v>489</v>
      </c>
      <c r="H267" t="s">
        <v>46</v>
      </c>
      <c r="I267">
        <v>1</v>
      </c>
      <c r="J267" s="4">
        <v>43932</v>
      </c>
      <c r="K267" s="4">
        <v>43932</v>
      </c>
      <c r="L267" s="5">
        <v>0.5</v>
      </c>
      <c r="M267" s="5">
        <v>0.52083333333333337</v>
      </c>
      <c r="N267">
        <v>55.536439999999999</v>
      </c>
      <c r="O267">
        <v>13.87805</v>
      </c>
      <c r="P267">
        <v>429193</v>
      </c>
      <c r="Q267">
        <v>6155060</v>
      </c>
      <c r="R267" t="s">
        <v>490</v>
      </c>
      <c r="S267">
        <v>25</v>
      </c>
      <c r="T267" t="s">
        <v>935</v>
      </c>
      <c r="U267" t="s">
        <v>525</v>
      </c>
      <c r="V267" t="s">
        <v>504</v>
      </c>
      <c r="W267" t="s">
        <v>494</v>
      </c>
      <c r="X267" t="s">
        <v>494</v>
      </c>
      <c r="Y267" t="s">
        <v>560</v>
      </c>
      <c r="Z267">
        <v>1</v>
      </c>
      <c r="AA267">
        <v>1</v>
      </c>
      <c r="AE267" t="s">
        <v>542</v>
      </c>
      <c r="AF267" t="s">
        <v>496</v>
      </c>
      <c r="AG267" t="b">
        <v>0</v>
      </c>
      <c r="AH267" t="b">
        <v>0</v>
      </c>
      <c r="AI267" t="b">
        <v>0</v>
      </c>
      <c r="AK267" t="s">
        <v>497</v>
      </c>
      <c r="AL267" t="b">
        <v>0</v>
      </c>
      <c r="AM267" t="b">
        <v>0</v>
      </c>
    </row>
    <row r="268" spans="1:39">
      <c r="A268" t="s">
        <v>936</v>
      </c>
      <c r="B268" t="b">
        <v>1</v>
      </c>
      <c r="C268">
        <v>103020</v>
      </c>
      <c r="D268" t="s">
        <v>328</v>
      </c>
      <c r="E268" t="s">
        <v>329</v>
      </c>
      <c r="F268" t="s">
        <v>488</v>
      </c>
      <c r="G268" t="s">
        <v>489</v>
      </c>
      <c r="H268" t="s">
        <v>41</v>
      </c>
      <c r="I268">
        <v>1</v>
      </c>
      <c r="J268" s="4">
        <v>44017</v>
      </c>
      <c r="K268" s="4">
        <v>44017</v>
      </c>
      <c r="L268" s="5">
        <v>0.38541666666666669</v>
      </c>
      <c r="M268" s="5">
        <v>0.42708333333333331</v>
      </c>
      <c r="N268">
        <v>55.557290000000002</v>
      </c>
      <c r="O268">
        <v>13.901339999999999</v>
      </c>
      <c r="P268">
        <v>430699</v>
      </c>
      <c r="Q268">
        <v>6157357</v>
      </c>
      <c r="R268" t="s">
        <v>490</v>
      </c>
      <c r="S268">
        <v>500</v>
      </c>
      <c r="T268" t="s">
        <v>937</v>
      </c>
      <c r="U268" t="s">
        <v>532</v>
      </c>
      <c r="V268" t="s">
        <v>504</v>
      </c>
      <c r="W268" t="s">
        <v>494</v>
      </c>
      <c r="X268" t="s">
        <v>494</v>
      </c>
      <c r="Y268" t="s">
        <v>560</v>
      </c>
      <c r="Z268">
        <v>2</v>
      </c>
      <c r="AA268">
        <v>2</v>
      </c>
      <c r="AE268" t="s">
        <v>51</v>
      </c>
      <c r="AF268" t="s">
        <v>496</v>
      </c>
      <c r="AG268" t="b">
        <v>0</v>
      </c>
      <c r="AH268" t="b">
        <v>0</v>
      </c>
      <c r="AI268" t="b">
        <v>0</v>
      </c>
      <c r="AK268" t="s">
        <v>497</v>
      </c>
      <c r="AL268" t="b">
        <v>0</v>
      </c>
      <c r="AM268" t="b">
        <v>0</v>
      </c>
    </row>
    <row r="269" spans="1:39">
      <c r="A269" t="s">
        <v>938</v>
      </c>
      <c r="B269" t="b">
        <v>1</v>
      </c>
      <c r="C269">
        <v>100049</v>
      </c>
      <c r="D269" t="s">
        <v>295</v>
      </c>
      <c r="E269" t="s">
        <v>296</v>
      </c>
      <c r="F269" t="s">
        <v>488</v>
      </c>
      <c r="G269" t="s">
        <v>489</v>
      </c>
      <c r="H269" t="s">
        <v>46</v>
      </c>
      <c r="I269">
        <v>1</v>
      </c>
      <c r="J269" s="4">
        <v>44242</v>
      </c>
      <c r="K269" s="4">
        <v>44242</v>
      </c>
      <c r="L269" s="5">
        <v>0.36458333333333331</v>
      </c>
      <c r="M269" s="5">
        <v>0.38194444444444442</v>
      </c>
      <c r="N269">
        <v>55.527650000000001</v>
      </c>
      <c r="O269">
        <v>13.900119999999999</v>
      </c>
      <c r="P269">
        <v>430570</v>
      </c>
      <c r="Q269">
        <v>6154060</v>
      </c>
      <c r="R269" t="s">
        <v>490</v>
      </c>
      <c r="S269">
        <v>250</v>
      </c>
      <c r="T269" t="s">
        <v>578</v>
      </c>
      <c r="U269" t="s">
        <v>525</v>
      </c>
      <c r="V269" t="s">
        <v>504</v>
      </c>
      <c r="W269" t="s">
        <v>494</v>
      </c>
      <c r="X269" t="s">
        <v>494</v>
      </c>
      <c r="Y269" t="s">
        <v>939</v>
      </c>
      <c r="Z269">
        <v>1</v>
      </c>
      <c r="AA269">
        <v>1</v>
      </c>
      <c r="AE269" t="s">
        <v>42</v>
      </c>
      <c r="AF269" t="s">
        <v>496</v>
      </c>
      <c r="AG269" t="b">
        <v>0</v>
      </c>
      <c r="AH269" t="b">
        <v>0</v>
      </c>
      <c r="AI269" t="b">
        <v>0</v>
      </c>
      <c r="AK269" t="s">
        <v>497</v>
      </c>
      <c r="AL269" t="b">
        <v>0</v>
      </c>
      <c r="AM269" t="b">
        <v>0</v>
      </c>
    </row>
    <row r="270" spans="1:39">
      <c r="A270" t="s">
        <v>940</v>
      </c>
      <c r="B270" t="b">
        <v>1</v>
      </c>
      <c r="C270">
        <v>103012</v>
      </c>
      <c r="D270" t="s">
        <v>358</v>
      </c>
      <c r="E270" t="s">
        <v>359</v>
      </c>
      <c r="F270" t="s">
        <v>488</v>
      </c>
      <c r="G270" t="s">
        <v>489</v>
      </c>
      <c r="H270" t="s">
        <v>41</v>
      </c>
      <c r="I270">
        <v>1</v>
      </c>
      <c r="J270" s="4">
        <v>44331</v>
      </c>
      <c r="K270" s="4">
        <v>44331</v>
      </c>
      <c r="N270">
        <v>55.555979999999998</v>
      </c>
      <c r="O270">
        <v>13.86809</v>
      </c>
      <c r="P270">
        <v>428600</v>
      </c>
      <c r="Q270">
        <v>6157245</v>
      </c>
      <c r="R270" t="s">
        <v>490</v>
      </c>
      <c r="S270">
        <v>182</v>
      </c>
      <c r="T270" t="s">
        <v>941</v>
      </c>
      <c r="U270" t="s">
        <v>532</v>
      </c>
      <c r="V270" t="s">
        <v>504</v>
      </c>
      <c r="W270" t="s">
        <v>494</v>
      </c>
      <c r="X270" t="s">
        <v>494</v>
      </c>
      <c r="Y270" t="s">
        <v>648</v>
      </c>
      <c r="AE270" t="s">
        <v>42</v>
      </c>
      <c r="AF270" t="s">
        <v>496</v>
      </c>
      <c r="AG270" t="b">
        <v>0</v>
      </c>
      <c r="AH270" t="b">
        <v>0</v>
      </c>
      <c r="AI270" t="b">
        <v>0</v>
      </c>
      <c r="AK270" t="s">
        <v>497</v>
      </c>
      <c r="AL270" t="b">
        <v>0</v>
      </c>
      <c r="AM270" t="b">
        <v>0</v>
      </c>
    </row>
    <row r="271" spans="1:39">
      <c r="A271" t="s">
        <v>942</v>
      </c>
      <c r="B271" t="b">
        <v>1</v>
      </c>
      <c r="C271">
        <v>102119</v>
      </c>
      <c r="D271" t="s">
        <v>291</v>
      </c>
      <c r="E271" t="s">
        <v>292</v>
      </c>
      <c r="F271" t="s">
        <v>488</v>
      </c>
      <c r="G271" t="s">
        <v>489</v>
      </c>
      <c r="H271" t="s">
        <v>41</v>
      </c>
      <c r="I271">
        <v>1</v>
      </c>
      <c r="J271" s="4">
        <v>43992</v>
      </c>
      <c r="K271" s="4">
        <v>43992</v>
      </c>
      <c r="N271">
        <v>55.558140000000002</v>
      </c>
      <c r="O271">
        <v>13.858969999999999</v>
      </c>
      <c r="P271">
        <v>428029</v>
      </c>
      <c r="Q271">
        <v>6157495</v>
      </c>
      <c r="R271" t="s">
        <v>490</v>
      </c>
      <c r="S271">
        <v>25</v>
      </c>
      <c r="T271" t="s">
        <v>943</v>
      </c>
      <c r="U271" t="s">
        <v>532</v>
      </c>
      <c r="V271" t="s">
        <v>504</v>
      </c>
      <c r="W271" t="s">
        <v>494</v>
      </c>
      <c r="X271" t="s">
        <v>494</v>
      </c>
      <c r="Y271" t="s">
        <v>944</v>
      </c>
      <c r="Z271">
        <v>1</v>
      </c>
      <c r="AA271">
        <v>1</v>
      </c>
      <c r="AE271" t="s">
        <v>42</v>
      </c>
      <c r="AF271" t="s">
        <v>496</v>
      </c>
      <c r="AG271" t="b">
        <v>0</v>
      </c>
      <c r="AH271" t="b">
        <v>0</v>
      </c>
      <c r="AI271" t="b">
        <v>0</v>
      </c>
      <c r="AK271" t="s">
        <v>497</v>
      </c>
      <c r="AL271" t="b">
        <v>0</v>
      </c>
      <c r="AM271" t="b">
        <v>0</v>
      </c>
    </row>
    <row r="272" spans="1:39">
      <c r="A272" t="s">
        <v>945</v>
      </c>
      <c r="B272" t="b">
        <v>1</v>
      </c>
      <c r="C272">
        <v>103003</v>
      </c>
      <c r="D272" t="s">
        <v>350</v>
      </c>
      <c r="E272" t="s">
        <v>351</v>
      </c>
      <c r="F272" t="s">
        <v>488</v>
      </c>
      <c r="G272" t="s">
        <v>489</v>
      </c>
      <c r="H272" t="s">
        <v>85</v>
      </c>
      <c r="I272">
        <v>1</v>
      </c>
      <c r="J272" s="4">
        <v>44330</v>
      </c>
      <c r="K272" s="4">
        <v>44330</v>
      </c>
      <c r="L272" s="5">
        <v>0.90138888888888891</v>
      </c>
      <c r="M272" s="5">
        <v>0.90138888888888891</v>
      </c>
      <c r="N272">
        <v>55.539940000000001</v>
      </c>
      <c r="O272">
        <v>14.000579999999999</v>
      </c>
      <c r="P272">
        <v>436931</v>
      </c>
      <c r="Q272">
        <v>6155331</v>
      </c>
      <c r="R272" t="s">
        <v>490</v>
      </c>
      <c r="S272">
        <v>101</v>
      </c>
      <c r="T272" t="s">
        <v>946</v>
      </c>
      <c r="U272" t="s">
        <v>947</v>
      </c>
      <c r="V272" t="s">
        <v>504</v>
      </c>
      <c r="W272" t="s">
        <v>494</v>
      </c>
      <c r="X272" t="s">
        <v>494</v>
      </c>
      <c r="Y272" t="s">
        <v>948</v>
      </c>
      <c r="Z272">
        <v>1</v>
      </c>
      <c r="AA272">
        <v>1</v>
      </c>
      <c r="AD272" t="s">
        <v>510</v>
      </c>
      <c r="AE272" t="s">
        <v>42</v>
      </c>
      <c r="AF272" t="s">
        <v>496</v>
      </c>
      <c r="AG272" t="b">
        <v>0</v>
      </c>
      <c r="AH272" t="b">
        <v>0</v>
      </c>
      <c r="AI272" t="b">
        <v>0</v>
      </c>
      <c r="AK272" t="s">
        <v>497</v>
      </c>
      <c r="AL272" t="b">
        <v>0</v>
      </c>
      <c r="AM272" t="b">
        <v>0</v>
      </c>
    </row>
    <row r="273" spans="1:39">
      <c r="A273" t="s">
        <v>949</v>
      </c>
      <c r="B273" t="b">
        <v>1</v>
      </c>
      <c r="C273">
        <v>103042</v>
      </c>
      <c r="D273" t="s">
        <v>398</v>
      </c>
      <c r="E273" t="s">
        <v>399</v>
      </c>
      <c r="F273" t="s">
        <v>488</v>
      </c>
      <c r="G273" t="s">
        <v>489</v>
      </c>
      <c r="H273" t="s">
        <v>85</v>
      </c>
      <c r="I273">
        <v>1</v>
      </c>
      <c r="J273" s="4">
        <v>44717</v>
      </c>
      <c r="K273" s="4">
        <v>44717</v>
      </c>
      <c r="L273" s="5">
        <v>0.54166666666666663</v>
      </c>
      <c r="M273" s="5">
        <v>0.64583333333333337</v>
      </c>
      <c r="N273">
        <v>55.547759999999997</v>
      </c>
      <c r="O273">
        <v>13.86754</v>
      </c>
      <c r="P273">
        <v>428550</v>
      </c>
      <c r="Q273">
        <v>6156331</v>
      </c>
      <c r="R273" t="s">
        <v>490</v>
      </c>
      <c r="S273">
        <v>627</v>
      </c>
      <c r="T273" t="s">
        <v>541</v>
      </c>
      <c r="U273" t="s">
        <v>525</v>
      </c>
      <c r="V273" t="s">
        <v>504</v>
      </c>
      <c r="W273" t="s">
        <v>494</v>
      </c>
      <c r="X273" t="s">
        <v>494</v>
      </c>
      <c r="Y273" t="s">
        <v>950</v>
      </c>
      <c r="Z273">
        <v>1</v>
      </c>
      <c r="AA273">
        <v>1</v>
      </c>
      <c r="AE273" t="s">
        <v>42</v>
      </c>
      <c r="AF273" t="s">
        <v>496</v>
      </c>
      <c r="AG273" t="b">
        <v>0</v>
      </c>
      <c r="AH273" t="b">
        <v>0</v>
      </c>
      <c r="AI273" t="b">
        <v>0</v>
      </c>
      <c r="AK273" t="s">
        <v>497</v>
      </c>
      <c r="AL273" t="b">
        <v>0</v>
      </c>
      <c r="AM273" t="b">
        <v>0</v>
      </c>
    </row>
    <row r="274" spans="1:39">
      <c r="A274" t="s">
        <v>951</v>
      </c>
      <c r="B274" t="b">
        <v>1</v>
      </c>
      <c r="C274">
        <v>102993</v>
      </c>
      <c r="D274" t="s">
        <v>384</v>
      </c>
      <c r="E274" t="s">
        <v>385</v>
      </c>
      <c r="F274" t="s">
        <v>488</v>
      </c>
      <c r="G274" t="s">
        <v>489</v>
      </c>
      <c r="H274" t="s">
        <v>85</v>
      </c>
      <c r="I274">
        <v>1</v>
      </c>
      <c r="J274" s="4">
        <v>44710</v>
      </c>
      <c r="K274" s="4">
        <v>44710</v>
      </c>
      <c r="L274" s="5">
        <v>0.50694444444444442</v>
      </c>
      <c r="M274" s="5">
        <v>0.50694444444444442</v>
      </c>
      <c r="N274">
        <v>55.54081</v>
      </c>
      <c r="O274">
        <v>13.95609</v>
      </c>
      <c r="P274">
        <v>434125</v>
      </c>
      <c r="Q274">
        <v>6155470</v>
      </c>
      <c r="R274" t="s">
        <v>490</v>
      </c>
      <c r="S274">
        <v>1500</v>
      </c>
      <c r="T274" t="s">
        <v>507</v>
      </c>
      <c r="U274" t="s">
        <v>508</v>
      </c>
      <c r="V274" t="s">
        <v>504</v>
      </c>
      <c r="W274" t="s">
        <v>494</v>
      </c>
      <c r="X274" t="s">
        <v>494</v>
      </c>
      <c r="Y274" t="s">
        <v>952</v>
      </c>
      <c r="Z274">
        <v>1</v>
      </c>
      <c r="AA274">
        <v>1</v>
      </c>
      <c r="AE274" t="s">
        <v>42</v>
      </c>
      <c r="AF274" t="s">
        <v>496</v>
      </c>
      <c r="AG274" t="b">
        <v>0</v>
      </c>
      <c r="AH274" t="b">
        <v>0</v>
      </c>
      <c r="AI274" t="b">
        <v>0</v>
      </c>
      <c r="AK274" t="s">
        <v>497</v>
      </c>
      <c r="AL274" t="b">
        <v>0</v>
      </c>
      <c r="AM274" t="b">
        <v>0</v>
      </c>
    </row>
    <row r="275" spans="1:39">
      <c r="A275" t="s">
        <v>953</v>
      </c>
      <c r="B275" t="b">
        <v>1</v>
      </c>
      <c r="C275">
        <v>102977</v>
      </c>
      <c r="D275" t="s">
        <v>47</v>
      </c>
      <c r="E275" t="s">
        <v>48</v>
      </c>
      <c r="F275" t="s">
        <v>488</v>
      </c>
      <c r="G275" t="s">
        <v>489</v>
      </c>
      <c r="H275" t="s">
        <v>46</v>
      </c>
      <c r="I275">
        <v>1</v>
      </c>
      <c r="J275" s="4">
        <v>44747</v>
      </c>
      <c r="K275" s="4">
        <v>44747</v>
      </c>
      <c r="L275" s="5">
        <v>0.72916666666666663</v>
      </c>
      <c r="M275" s="5">
        <v>0.79166666666666663</v>
      </c>
      <c r="N275">
        <v>55.530740000000002</v>
      </c>
      <c r="O275">
        <v>13.879630000000001</v>
      </c>
      <c r="P275">
        <v>429282</v>
      </c>
      <c r="Q275">
        <v>6154424</v>
      </c>
      <c r="R275" t="s">
        <v>490</v>
      </c>
      <c r="S275">
        <v>310</v>
      </c>
      <c r="T275" t="s">
        <v>499</v>
      </c>
      <c r="U275" t="s">
        <v>492</v>
      </c>
      <c r="V275" t="s">
        <v>493</v>
      </c>
      <c r="W275" t="s">
        <v>494</v>
      </c>
      <c r="X275" t="s">
        <v>494</v>
      </c>
      <c r="Y275" t="s">
        <v>536</v>
      </c>
      <c r="Z275">
        <v>1</v>
      </c>
      <c r="AA275">
        <v>1</v>
      </c>
      <c r="AE275" t="s">
        <v>538</v>
      </c>
      <c r="AF275" t="s">
        <v>496</v>
      </c>
      <c r="AG275" t="b">
        <v>0</v>
      </c>
      <c r="AH275" t="b">
        <v>0</v>
      </c>
      <c r="AI275" t="b">
        <v>0</v>
      </c>
      <c r="AK275" t="s">
        <v>497</v>
      </c>
      <c r="AL275" t="b">
        <v>0</v>
      </c>
      <c r="AM275" t="b">
        <v>0</v>
      </c>
    </row>
    <row r="276" spans="1:39">
      <c r="A276" t="s">
        <v>954</v>
      </c>
      <c r="B276" t="b">
        <v>1</v>
      </c>
      <c r="C276">
        <v>103055</v>
      </c>
      <c r="D276" t="s">
        <v>413</v>
      </c>
      <c r="E276" t="s">
        <v>414</v>
      </c>
      <c r="F276" t="s">
        <v>488</v>
      </c>
      <c r="G276" t="s">
        <v>489</v>
      </c>
      <c r="H276" t="s">
        <v>41</v>
      </c>
      <c r="I276">
        <v>1</v>
      </c>
      <c r="J276" s="4">
        <v>44620</v>
      </c>
      <c r="K276" s="4">
        <v>44620</v>
      </c>
      <c r="L276" s="5">
        <v>0.32777777777777778</v>
      </c>
      <c r="M276" s="5">
        <v>0.38541666666666669</v>
      </c>
      <c r="N276">
        <v>55.547759999999997</v>
      </c>
      <c r="O276">
        <v>13.86754</v>
      </c>
      <c r="P276">
        <v>428550</v>
      </c>
      <c r="Q276">
        <v>6156331</v>
      </c>
      <c r="R276" t="s">
        <v>490</v>
      </c>
      <c r="S276">
        <v>627</v>
      </c>
      <c r="T276" t="s">
        <v>541</v>
      </c>
      <c r="U276" t="s">
        <v>525</v>
      </c>
      <c r="V276" t="s">
        <v>504</v>
      </c>
      <c r="W276" t="s">
        <v>494</v>
      </c>
      <c r="X276" t="s">
        <v>494</v>
      </c>
      <c r="Y276" t="s">
        <v>955</v>
      </c>
      <c r="Z276">
        <v>1</v>
      </c>
      <c r="AA276">
        <v>1</v>
      </c>
      <c r="AE276" t="s">
        <v>42</v>
      </c>
      <c r="AF276" t="s">
        <v>496</v>
      </c>
      <c r="AG276" t="b">
        <v>0</v>
      </c>
      <c r="AH276" t="b">
        <v>0</v>
      </c>
      <c r="AI276" t="b">
        <v>0</v>
      </c>
      <c r="AK276" t="s">
        <v>497</v>
      </c>
      <c r="AL276" t="b">
        <v>0</v>
      </c>
      <c r="AM276" t="b">
        <v>0</v>
      </c>
    </row>
    <row r="277" spans="1:39">
      <c r="A277" t="s">
        <v>956</v>
      </c>
      <c r="B277" t="b">
        <v>1</v>
      </c>
      <c r="C277">
        <v>102976</v>
      </c>
      <c r="D277" t="s">
        <v>243</v>
      </c>
      <c r="E277" t="s">
        <v>244</v>
      </c>
      <c r="F277" t="s">
        <v>488</v>
      </c>
      <c r="G277" t="s">
        <v>489</v>
      </c>
      <c r="H277" t="s">
        <v>85</v>
      </c>
      <c r="I277">
        <v>1</v>
      </c>
      <c r="J277" s="4">
        <v>45485</v>
      </c>
      <c r="K277" s="4">
        <v>45485</v>
      </c>
      <c r="N277">
        <v>55.540599999999998</v>
      </c>
      <c r="O277">
        <v>13.952249999999999</v>
      </c>
      <c r="P277">
        <v>433882</v>
      </c>
      <c r="Q277">
        <v>6155450</v>
      </c>
      <c r="R277" t="s">
        <v>490</v>
      </c>
      <c r="S277">
        <v>100</v>
      </c>
      <c r="T277" t="s">
        <v>957</v>
      </c>
      <c r="U277" t="s">
        <v>508</v>
      </c>
      <c r="V277" t="s">
        <v>504</v>
      </c>
      <c r="W277" t="s">
        <v>494</v>
      </c>
      <c r="X277" t="s">
        <v>494</v>
      </c>
      <c r="Y277" t="s">
        <v>738</v>
      </c>
      <c r="Z277">
        <v>50</v>
      </c>
      <c r="AA277">
        <v>50</v>
      </c>
      <c r="AE277" t="s">
        <v>57</v>
      </c>
      <c r="AF277" t="s">
        <v>496</v>
      </c>
      <c r="AG277" t="b">
        <v>0</v>
      </c>
      <c r="AH277" t="b">
        <v>0</v>
      </c>
      <c r="AI277" t="b">
        <v>0</v>
      </c>
      <c r="AK277" t="s">
        <v>497</v>
      </c>
      <c r="AL277" t="b">
        <v>0</v>
      </c>
      <c r="AM277" t="b">
        <v>0</v>
      </c>
    </row>
    <row r="278" spans="1:39">
      <c r="A278" t="s">
        <v>958</v>
      </c>
      <c r="B278" t="b">
        <v>1</v>
      </c>
      <c r="C278">
        <v>103055</v>
      </c>
      <c r="D278" t="s">
        <v>413</v>
      </c>
      <c r="E278" t="s">
        <v>414</v>
      </c>
      <c r="F278" t="s">
        <v>488</v>
      </c>
      <c r="G278" t="s">
        <v>489</v>
      </c>
      <c r="H278" t="s">
        <v>41</v>
      </c>
      <c r="I278">
        <v>1</v>
      </c>
      <c r="J278" s="4">
        <v>45740</v>
      </c>
      <c r="K278" s="4">
        <v>45740</v>
      </c>
      <c r="L278" s="5">
        <v>0.45833333333333331</v>
      </c>
      <c r="M278" s="5">
        <v>0.52083333333333337</v>
      </c>
      <c r="N278">
        <v>55.515189999999997</v>
      </c>
      <c r="O278">
        <v>13.899330000000001</v>
      </c>
      <c r="P278">
        <v>430498</v>
      </c>
      <c r="Q278">
        <v>6152673</v>
      </c>
      <c r="R278" t="s">
        <v>490</v>
      </c>
      <c r="S278">
        <v>125</v>
      </c>
      <c r="T278" t="s">
        <v>552</v>
      </c>
      <c r="U278" t="s">
        <v>525</v>
      </c>
      <c r="V278" t="s">
        <v>504</v>
      </c>
      <c r="W278" t="s">
        <v>494</v>
      </c>
      <c r="X278" t="s">
        <v>494</v>
      </c>
      <c r="Y278" t="s">
        <v>536</v>
      </c>
      <c r="Z278">
        <v>1</v>
      </c>
      <c r="AA278">
        <v>1</v>
      </c>
      <c r="AD278" t="s">
        <v>510</v>
      </c>
      <c r="AE278" t="s">
        <v>538</v>
      </c>
      <c r="AF278" t="s">
        <v>496</v>
      </c>
      <c r="AG278" t="b">
        <v>0</v>
      </c>
      <c r="AH278" t="b">
        <v>0</v>
      </c>
      <c r="AI278" t="b">
        <v>0</v>
      </c>
      <c r="AK278" t="s">
        <v>497</v>
      </c>
      <c r="AL278" t="b">
        <v>0</v>
      </c>
      <c r="AM278" t="b">
        <v>0</v>
      </c>
    </row>
    <row r="279" spans="1:39">
      <c r="A279" t="s">
        <v>959</v>
      </c>
      <c r="B279" t="b">
        <v>1</v>
      </c>
      <c r="C279">
        <v>103042</v>
      </c>
      <c r="D279" t="s">
        <v>398</v>
      </c>
      <c r="E279" t="s">
        <v>399</v>
      </c>
      <c r="F279" t="s">
        <v>488</v>
      </c>
      <c r="G279" t="s">
        <v>489</v>
      </c>
      <c r="H279" t="s">
        <v>85</v>
      </c>
      <c r="I279">
        <v>1</v>
      </c>
      <c r="J279" s="4">
        <v>46105</v>
      </c>
      <c r="K279" s="4">
        <v>46105</v>
      </c>
      <c r="L279" s="5">
        <v>0.4548611111111111</v>
      </c>
      <c r="M279" s="5">
        <v>0.46527777777777779</v>
      </c>
      <c r="N279">
        <v>55.564190000000004</v>
      </c>
      <c r="O279">
        <v>13.96203</v>
      </c>
      <c r="P279">
        <v>434539</v>
      </c>
      <c r="Q279">
        <v>6158065</v>
      </c>
      <c r="R279" t="s">
        <v>490</v>
      </c>
      <c r="S279">
        <v>1293</v>
      </c>
      <c r="T279" t="s">
        <v>521</v>
      </c>
      <c r="U279" t="s">
        <v>508</v>
      </c>
      <c r="V279" t="s">
        <v>504</v>
      </c>
      <c r="W279" t="s">
        <v>494</v>
      </c>
      <c r="X279" t="s">
        <v>494</v>
      </c>
      <c r="Y279" t="s">
        <v>526</v>
      </c>
      <c r="Z279">
        <v>1</v>
      </c>
      <c r="AA279">
        <v>1</v>
      </c>
      <c r="AE279" t="s">
        <v>42</v>
      </c>
      <c r="AF279" t="s">
        <v>496</v>
      </c>
      <c r="AG279" t="b">
        <v>0</v>
      </c>
      <c r="AH279" t="b">
        <v>0</v>
      </c>
      <c r="AI279" t="b">
        <v>0</v>
      </c>
      <c r="AK279" t="s">
        <v>497</v>
      </c>
      <c r="AL279" t="b">
        <v>0</v>
      </c>
      <c r="AM279" t="b">
        <v>0</v>
      </c>
    </row>
    <row r="280" spans="1:39">
      <c r="A280" t="s">
        <v>960</v>
      </c>
      <c r="B280" t="b">
        <v>1</v>
      </c>
      <c r="C280">
        <v>103042</v>
      </c>
      <c r="D280" t="s">
        <v>398</v>
      </c>
      <c r="E280" t="s">
        <v>399</v>
      </c>
      <c r="F280" t="s">
        <v>488</v>
      </c>
      <c r="G280" t="s">
        <v>489</v>
      </c>
      <c r="H280" t="s">
        <v>85</v>
      </c>
      <c r="I280">
        <v>1</v>
      </c>
      <c r="J280" s="4">
        <v>41029</v>
      </c>
      <c r="K280" s="4">
        <v>41029</v>
      </c>
      <c r="L280" s="5">
        <v>0.54513888888888884</v>
      </c>
      <c r="M280" s="5">
        <v>0.59027777777777779</v>
      </c>
      <c r="N280">
        <v>55.530740000000002</v>
      </c>
      <c r="O280">
        <v>13.879630000000001</v>
      </c>
      <c r="P280">
        <v>429282</v>
      </c>
      <c r="Q280">
        <v>6154424</v>
      </c>
      <c r="R280" t="s">
        <v>490</v>
      </c>
      <c r="S280">
        <v>310</v>
      </c>
      <c r="T280" t="s">
        <v>499</v>
      </c>
      <c r="U280" t="s">
        <v>492</v>
      </c>
      <c r="V280" t="s">
        <v>493</v>
      </c>
      <c r="W280" t="s">
        <v>494</v>
      </c>
      <c r="X280" t="s">
        <v>494</v>
      </c>
      <c r="Y280" t="s">
        <v>685</v>
      </c>
      <c r="Z280">
        <v>1</v>
      </c>
      <c r="AA280">
        <v>1</v>
      </c>
      <c r="AE280" t="s">
        <v>42</v>
      </c>
      <c r="AF280" t="s">
        <v>496</v>
      </c>
      <c r="AG280" t="b">
        <v>0</v>
      </c>
      <c r="AH280" t="b">
        <v>0</v>
      </c>
      <c r="AI280" t="b">
        <v>0</v>
      </c>
      <c r="AK280" t="s">
        <v>497</v>
      </c>
      <c r="AL280" t="b">
        <v>0</v>
      </c>
      <c r="AM280" t="b">
        <v>0</v>
      </c>
    </row>
    <row r="281" spans="1:39">
      <c r="A281" t="s">
        <v>961</v>
      </c>
      <c r="B281" t="b">
        <v>1</v>
      </c>
      <c r="C281">
        <v>100049</v>
      </c>
      <c r="D281" t="s">
        <v>295</v>
      </c>
      <c r="E281" t="s">
        <v>296</v>
      </c>
      <c r="F281" t="s">
        <v>488</v>
      </c>
      <c r="G281" t="s">
        <v>489</v>
      </c>
      <c r="H281" t="s">
        <v>46</v>
      </c>
      <c r="I281">
        <v>1</v>
      </c>
      <c r="J281" s="4">
        <v>42619</v>
      </c>
      <c r="K281" s="4">
        <v>42619</v>
      </c>
      <c r="L281" s="5">
        <v>0.66666666666666663</v>
      </c>
      <c r="M281" s="5">
        <v>0.68055555555555558</v>
      </c>
      <c r="N281">
        <v>55.555309999999999</v>
      </c>
      <c r="O281">
        <v>13.8569</v>
      </c>
      <c r="P281">
        <v>427893</v>
      </c>
      <c r="Q281">
        <v>6157182</v>
      </c>
      <c r="R281" t="s">
        <v>490</v>
      </c>
      <c r="S281">
        <v>140</v>
      </c>
      <c r="T281" t="s">
        <v>491</v>
      </c>
      <c r="U281" t="s">
        <v>492</v>
      </c>
      <c r="V281" t="s">
        <v>493</v>
      </c>
      <c r="W281" t="s">
        <v>494</v>
      </c>
      <c r="X281" t="s">
        <v>494</v>
      </c>
      <c r="Y281" t="s">
        <v>536</v>
      </c>
      <c r="Z281">
        <v>1</v>
      </c>
      <c r="AA281">
        <v>1</v>
      </c>
      <c r="AE281" t="s">
        <v>542</v>
      </c>
      <c r="AF281" t="s">
        <v>496</v>
      </c>
      <c r="AG281" t="b">
        <v>0</v>
      </c>
      <c r="AH281" t="b">
        <v>0</v>
      </c>
      <c r="AI281" t="b">
        <v>0</v>
      </c>
      <c r="AK281" t="s">
        <v>497</v>
      </c>
      <c r="AL281" t="b">
        <v>0</v>
      </c>
      <c r="AM281" t="b">
        <v>0</v>
      </c>
    </row>
    <row r="282" spans="1:39">
      <c r="A282" t="s">
        <v>962</v>
      </c>
      <c r="B282" t="b">
        <v>1</v>
      </c>
      <c r="C282">
        <v>103020</v>
      </c>
      <c r="D282" t="s">
        <v>328</v>
      </c>
      <c r="E282" t="s">
        <v>329</v>
      </c>
      <c r="F282" t="s">
        <v>488</v>
      </c>
      <c r="G282" t="s">
        <v>489</v>
      </c>
      <c r="H282" t="s">
        <v>41</v>
      </c>
      <c r="I282">
        <v>1</v>
      </c>
      <c r="J282" s="4">
        <v>39194</v>
      </c>
      <c r="K282" s="4">
        <v>39194</v>
      </c>
      <c r="L282" s="5">
        <v>0</v>
      </c>
      <c r="M282" s="5">
        <v>0</v>
      </c>
      <c r="N282">
        <v>55.555309999999999</v>
      </c>
      <c r="O282">
        <v>13.8569</v>
      </c>
      <c r="P282">
        <v>427893</v>
      </c>
      <c r="Q282">
        <v>6157182</v>
      </c>
      <c r="R282" t="s">
        <v>490</v>
      </c>
      <c r="S282">
        <v>140</v>
      </c>
      <c r="T282" t="s">
        <v>491</v>
      </c>
      <c r="U282" t="s">
        <v>492</v>
      </c>
      <c r="V282" t="s">
        <v>493</v>
      </c>
      <c r="W282" t="s">
        <v>494</v>
      </c>
      <c r="X282" t="s">
        <v>494</v>
      </c>
      <c r="Y282" t="s">
        <v>495</v>
      </c>
      <c r="Z282">
        <v>2</v>
      </c>
      <c r="AA282">
        <v>2</v>
      </c>
      <c r="AD282" t="s">
        <v>527</v>
      </c>
      <c r="AE282" t="s">
        <v>52</v>
      </c>
      <c r="AF282" t="s">
        <v>496</v>
      </c>
      <c r="AG282" t="b">
        <v>0</v>
      </c>
      <c r="AH282" t="b">
        <v>0</v>
      </c>
      <c r="AI282" t="b">
        <v>0</v>
      </c>
      <c r="AK282" t="s">
        <v>497</v>
      </c>
      <c r="AL282" t="b">
        <v>0</v>
      </c>
      <c r="AM282" t="b">
        <v>0</v>
      </c>
    </row>
    <row r="283" spans="1:39">
      <c r="A283" t="s">
        <v>963</v>
      </c>
      <c r="B283" t="b">
        <v>1</v>
      </c>
      <c r="C283">
        <v>103055</v>
      </c>
      <c r="D283" t="s">
        <v>413</v>
      </c>
      <c r="E283" t="s">
        <v>414</v>
      </c>
      <c r="F283" t="s">
        <v>488</v>
      </c>
      <c r="G283" t="s">
        <v>489</v>
      </c>
      <c r="H283" t="s">
        <v>41</v>
      </c>
      <c r="I283">
        <v>1</v>
      </c>
      <c r="J283" s="4">
        <v>39660</v>
      </c>
      <c r="K283" s="4">
        <v>39660</v>
      </c>
      <c r="L283" s="5">
        <v>0.57291666666666663</v>
      </c>
      <c r="M283" s="5">
        <v>0.64236111111111116</v>
      </c>
      <c r="N283">
        <v>55.527650000000001</v>
      </c>
      <c r="O283">
        <v>13.900119999999999</v>
      </c>
      <c r="P283">
        <v>430570</v>
      </c>
      <c r="Q283">
        <v>6154060</v>
      </c>
      <c r="R283" t="s">
        <v>490</v>
      </c>
      <c r="S283">
        <v>250</v>
      </c>
      <c r="T283" t="s">
        <v>578</v>
      </c>
      <c r="U283" t="s">
        <v>525</v>
      </c>
      <c r="V283" t="s">
        <v>504</v>
      </c>
      <c r="W283" t="s">
        <v>494</v>
      </c>
      <c r="X283" t="s">
        <v>494</v>
      </c>
      <c r="Y283" t="s">
        <v>828</v>
      </c>
      <c r="Z283">
        <v>1</v>
      </c>
      <c r="AA283">
        <v>1</v>
      </c>
      <c r="AE283" t="s">
        <v>42</v>
      </c>
      <c r="AF283" t="s">
        <v>496</v>
      </c>
      <c r="AG283" t="b">
        <v>0</v>
      </c>
      <c r="AH283" t="b">
        <v>0</v>
      </c>
      <c r="AI283" t="b">
        <v>0</v>
      </c>
      <c r="AK283" t="s">
        <v>497</v>
      </c>
      <c r="AL283" t="b">
        <v>0</v>
      </c>
      <c r="AM283" t="b">
        <v>0</v>
      </c>
    </row>
    <row r="284" spans="1:39">
      <c r="A284" t="s">
        <v>964</v>
      </c>
      <c r="B284" t="b">
        <v>1</v>
      </c>
      <c r="C284">
        <v>103055</v>
      </c>
      <c r="D284" t="s">
        <v>413</v>
      </c>
      <c r="E284" t="s">
        <v>414</v>
      </c>
      <c r="F284" t="s">
        <v>488</v>
      </c>
      <c r="G284" t="s">
        <v>489</v>
      </c>
      <c r="H284" t="s">
        <v>41</v>
      </c>
      <c r="I284">
        <v>1</v>
      </c>
      <c r="J284" s="4">
        <v>40018</v>
      </c>
      <c r="K284" s="4">
        <v>40018</v>
      </c>
      <c r="L284" s="5">
        <v>0</v>
      </c>
      <c r="M284" s="5">
        <v>0</v>
      </c>
      <c r="N284">
        <v>55.530740000000002</v>
      </c>
      <c r="O284">
        <v>13.879630000000001</v>
      </c>
      <c r="P284">
        <v>429282</v>
      </c>
      <c r="Q284">
        <v>6154424</v>
      </c>
      <c r="R284" t="s">
        <v>490</v>
      </c>
      <c r="S284">
        <v>310</v>
      </c>
      <c r="T284" t="s">
        <v>499</v>
      </c>
      <c r="U284" t="s">
        <v>492</v>
      </c>
      <c r="V284" t="s">
        <v>493</v>
      </c>
      <c r="W284" t="s">
        <v>494</v>
      </c>
      <c r="X284" t="s">
        <v>494</v>
      </c>
      <c r="Y284" t="s">
        <v>965</v>
      </c>
      <c r="Z284">
        <v>1</v>
      </c>
      <c r="AA284">
        <v>1</v>
      </c>
      <c r="AE284" t="s">
        <v>42</v>
      </c>
      <c r="AF284" t="s">
        <v>496</v>
      </c>
      <c r="AG284" t="b">
        <v>0</v>
      </c>
      <c r="AH284" t="b">
        <v>0</v>
      </c>
      <c r="AI284" t="b">
        <v>0</v>
      </c>
      <c r="AK284" t="s">
        <v>497</v>
      </c>
      <c r="AL284" t="b">
        <v>0</v>
      </c>
      <c r="AM284" t="b">
        <v>0</v>
      </c>
    </row>
    <row r="285" spans="1:39">
      <c r="A285" t="s">
        <v>966</v>
      </c>
      <c r="B285" t="b">
        <v>1</v>
      </c>
      <c r="C285">
        <v>100049</v>
      </c>
      <c r="D285" t="s">
        <v>295</v>
      </c>
      <c r="E285" t="s">
        <v>296</v>
      </c>
      <c r="F285" t="s">
        <v>488</v>
      </c>
      <c r="G285" t="s">
        <v>489</v>
      </c>
      <c r="H285" t="s">
        <v>46</v>
      </c>
      <c r="I285">
        <v>1</v>
      </c>
      <c r="J285" s="4">
        <v>40565</v>
      </c>
      <c r="K285" s="4">
        <v>40565</v>
      </c>
      <c r="L285" s="5">
        <v>0</v>
      </c>
      <c r="M285" s="5">
        <v>0</v>
      </c>
      <c r="N285">
        <v>55.556330000000003</v>
      </c>
      <c r="O285">
        <v>13.86158</v>
      </c>
      <c r="P285">
        <v>428190</v>
      </c>
      <c r="Q285">
        <v>6157290</v>
      </c>
      <c r="R285" t="s">
        <v>490</v>
      </c>
      <c r="S285">
        <v>139</v>
      </c>
      <c r="T285" t="s">
        <v>647</v>
      </c>
      <c r="U285" t="s">
        <v>532</v>
      </c>
      <c r="V285" t="s">
        <v>504</v>
      </c>
      <c r="W285" t="s">
        <v>494</v>
      </c>
      <c r="X285" t="s">
        <v>494</v>
      </c>
      <c r="Y285" t="s">
        <v>967</v>
      </c>
      <c r="Z285">
        <v>1</v>
      </c>
      <c r="AA285">
        <v>1</v>
      </c>
      <c r="AE285" t="s">
        <v>42</v>
      </c>
      <c r="AF285" t="s">
        <v>496</v>
      </c>
      <c r="AG285" t="b">
        <v>0</v>
      </c>
      <c r="AH285" t="b">
        <v>0</v>
      </c>
      <c r="AI285" t="b">
        <v>0</v>
      </c>
      <c r="AK285" t="s">
        <v>497</v>
      </c>
      <c r="AL285" t="b">
        <v>0</v>
      </c>
      <c r="AM285" t="b">
        <v>0</v>
      </c>
    </row>
    <row r="286" spans="1:39">
      <c r="A286" t="s">
        <v>968</v>
      </c>
      <c r="B286" t="b">
        <v>1</v>
      </c>
      <c r="C286">
        <v>103055</v>
      </c>
      <c r="D286" t="s">
        <v>413</v>
      </c>
      <c r="E286" t="s">
        <v>414</v>
      </c>
      <c r="F286" t="s">
        <v>488</v>
      </c>
      <c r="G286" t="s">
        <v>489</v>
      </c>
      <c r="H286" t="s">
        <v>41</v>
      </c>
      <c r="I286">
        <v>1</v>
      </c>
      <c r="J286" s="4">
        <v>43252</v>
      </c>
      <c r="K286" s="4">
        <v>43252</v>
      </c>
      <c r="N286">
        <v>55.530740000000002</v>
      </c>
      <c r="O286">
        <v>13.879630000000001</v>
      </c>
      <c r="P286">
        <v>429282</v>
      </c>
      <c r="Q286">
        <v>6154424</v>
      </c>
      <c r="R286" t="s">
        <v>490</v>
      </c>
      <c r="S286">
        <v>310</v>
      </c>
      <c r="T286" t="s">
        <v>499</v>
      </c>
      <c r="U286" t="s">
        <v>492</v>
      </c>
      <c r="V286" t="s">
        <v>493</v>
      </c>
      <c r="W286" t="s">
        <v>494</v>
      </c>
      <c r="X286" t="s">
        <v>494</v>
      </c>
      <c r="Y286" t="s">
        <v>969</v>
      </c>
      <c r="Z286">
        <v>2</v>
      </c>
      <c r="AA286">
        <v>2</v>
      </c>
      <c r="AE286" t="s">
        <v>42</v>
      </c>
      <c r="AF286" t="s">
        <v>496</v>
      </c>
      <c r="AG286" t="b">
        <v>0</v>
      </c>
      <c r="AH286" t="b">
        <v>0</v>
      </c>
      <c r="AI286" t="b">
        <v>0</v>
      </c>
      <c r="AK286" t="s">
        <v>497</v>
      </c>
      <c r="AL286" t="b">
        <v>0</v>
      </c>
      <c r="AM286" t="b">
        <v>0</v>
      </c>
    </row>
    <row r="287" spans="1:39">
      <c r="A287" t="s">
        <v>970</v>
      </c>
      <c r="B287" t="b">
        <v>1</v>
      </c>
      <c r="C287">
        <v>103055</v>
      </c>
      <c r="D287" t="s">
        <v>413</v>
      </c>
      <c r="E287" t="s">
        <v>414</v>
      </c>
      <c r="F287" t="s">
        <v>488</v>
      </c>
      <c r="G287" t="s">
        <v>489</v>
      </c>
      <c r="H287" t="s">
        <v>41</v>
      </c>
      <c r="I287">
        <v>1</v>
      </c>
      <c r="J287" s="4">
        <v>42930</v>
      </c>
      <c r="K287" s="4">
        <v>42930</v>
      </c>
      <c r="N287">
        <v>55.54081</v>
      </c>
      <c r="O287">
        <v>13.95609</v>
      </c>
      <c r="P287">
        <v>434125</v>
      </c>
      <c r="Q287">
        <v>6155470</v>
      </c>
      <c r="R287" t="s">
        <v>490</v>
      </c>
      <c r="S287">
        <v>1500</v>
      </c>
      <c r="T287" t="s">
        <v>507</v>
      </c>
      <c r="U287" t="s">
        <v>508</v>
      </c>
      <c r="V287" t="s">
        <v>504</v>
      </c>
      <c r="W287" t="s">
        <v>494</v>
      </c>
      <c r="X287" t="s">
        <v>494</v>
      </c>
      <c r="Y287" t="s">
        <v>971</v>
      </c>
      <c r="Z287">
        <v>2</v>
      </c>
      <c r="AA287">
        <v>2</v>
      </c>
      <c r="AE287" t="s">
        <v>42</v>
      </c>
      <c r="AF287" t="s">
        <v>496</v>
      </c>
      <c r="AG287" t="b">
        <v>0</v>
      </c>
      <c r="AH287" t="b">
        <v>0</v>
      </c>
      <c r="AI287" t="b">
        <v>0</v>
      </c>
      <c r="AK287" t="s">
        <v>497</v>
      </c>
      <c r="AL287" t="b">
        <v>0</v>
      </c>
      <c r="AM287" t="b">
        <v>0</v>
      </c>
    </row>
    <row r="288" spans="1:39">
      <c r="A288" t="s">
        <v>972</v>
      </c>
      <c r="B288" t="b">
        <v>1</v>
      </c>
      <c r="C288">
        <v>103055</v>
      </c>
      <c r="D288" t="s">
        <v>413</v>
      </c>
      <c r="E288" t="s">
        <v>414</v>
      </c>
      <c r="F288" t="s">
        <v>488</v>
      </c>
      <c r="G288" t="s">
        <v>489</v>
      </c>
      <c r="H288" t="s">
        <v>41</v>
      </c>
      <c r="I288">
        <v>1</v>
      </c>
      <c r="J288" s="4">
        <v>43590</v>
      </c>
      <c r="K288" s="4">
        <v>43590</v>
      </c>
      <c r="L288" s="5">
        <v>0.64583333333333337</v>
      </c>
      <c r="M288" s="5">
        <v>0.70833333333333337</v>
      </c>
      <c r="N288">
        <v>55.513469999999998</v>
      </c>
      <c r="O288">
        <v>13.92332</v>
      </c>
      <c r="P288">
        <v>432010</v>
      </c>
      <c r="Q288">
        <v>6152459</v>
      </c>
      <c r="R288" t="s">
        <v>490</v>
      </c>
      <c r="S288">
        <v>300</v>
      </c>
      <c r="T288" t="s">
        <v>796</v>
      </c>
      <c r="U288" t="s">
        <v>503</v>
      </c>
      <c r="V288" t="s">
        <v>504</v>
      </c>
      <c r="W288" t="s">
        <v>494</v>
      </c>
      <c r="X288" t="s">
        <v>494</v>
      </c>
      <c r="Y288" t="s">
        <v>536</v>
      </c>
      <c r="Z288">
        <v>2</v>
      </c>
      <c r="AA288">
        <v>2</v>
      </c>
      <c r="AD288" t="s">
        <v>527</v>
      </c>
      <c r="AE288" t="s">
        <v>538</v>
      </c>
      <c r="AF288" t="s">
        <v>496</v>
      </c>
      <c r="AG288" t="b">
        <v>0</v>
      </c>
      <c r="AH288" t="b">
        <v>0</v>
      </c>
      <c r="AI288" t="b">
        <v>0</v>
      </c>
      <c r="AK288" t="s">
        <v>497</v>
      </c>
      <c r="AL288" t="b">
        <v>0</v>
      </c>
      <c r="AM288" t="b">
        <v>0</v>
      </c>
    </row>
    <row r="289" spans="1:39">
      <c r="A289" t="s">
        <v>973</v>
      </c>
      <c r="B289" t="b">
        <v>1</v>
      </c>
      <c r="C289">
        <v>100048</v>
      </c>
      <c r="D289" t="s">
        <v>304</v>
      </c>
      <c r="E289" t="s">
        <v>305</v>
      </c>
      <c r="F289" t="s">
        <v>488</v>
      </c>
      <c r="G289" t="s">
        <v>489</v>
      </c>
      <c r="H289" t="s">
        <v>41</v>
      </c>
      <c r="I289">
        <v>1</v>
      </c>
      <c r="J289" s="4">
        <v>43587</v>
      </c>
      <c r="K289" s="4">
        <v>43587</v>
      </c>
      <c r="L289" s="5">
        <v>0.5625</v>
      </c>
      <c r="M289" s="5">
        <v>0.61111111111111116</v>
      </c>
      <c r="N289">
        <v>55.5351</v>
      </c>
      <c r="O289">
        <v>13.95862</v>
      </c>
      <c r="P289">
        <v>434276</v>
      </c>
      <c r="Q289">
        <v>6154832</v>
      </c>
      <c r="R289" t="s">
        <v>490</v>
      </c>
      <c r="S289">
        <v>400</v>
      </c>
      <c r="T289" t="s">
        <v>563</v>
      </c>
      <c r="U289" t="s">
        <v>508</v>
      </c>
      <c r="V289" t="s">
        <v>504</v>
      </c>
      <c r="W289" t="s">
        <v>494</v>
      </c>
      <c r="X289" t="s">
        <v>494</v>
      </c>
      <c r="Y289" t="s">
        <v>536</v>
      </c>
      <c r="Z289">
        <v>1</v>
      </c>
      <c r="AA289">
        <v>1</v>
      </c>
      <c r="AE289" t="s">
        <v>542</v>
      </c>
      <c r="AF289" t="s">
        <v>496</v>
      </c>
      <c r="AG289" t="b">
        <v>0</v>
      </c>
      <c r="AH289" t="b">
        <v>0</v>
      </c>
      <c r="AI289" t="b">
        <v>0</v>
      </c>
      <c r="AK289" t="s">
        <v>497</v>
      </c>
      <c r="AL289" t="b">
        <v>0</v>
      </c>
      <c r="AM289" t="b">
        <v>0</v>
      </c>
    </row>
    <row r="290" spans="1:39">
      <c r="A290" t="s">
        <v>974</v>
      </c>
      <c r="B290" t="b">
        <v>1</v>
      </c>
      <c r="C290">
        <v>103055</v>
      </c>
      <c r="D290" t="s">
        <v>413</v>
      </c>
      <c r="E290" t="s">
        <v>414</v>
      </c>
      <c r="F290" t="s">
        <v>488</v>
      </c>
      <c r="G290" t="s">
        <v>489</v>
      </c>
      <c r="H290" t="s">
        <v>41</v>
      </c>
      <c r="I290">
        <v>1</v>
      </c>
      <c r="J290" s="4">
        <v>41475</v>
      </c>
      <c r="K290" s="4">
        <v>41475</v>
      </c>
      <c r="L290" s="5">
        <v>0.51736111111111116</v>
      </c>
      <c r="M290" s="5">
        <v>0.53125</v>
      </c>
      <c r="N290">
        <v>55.525739999999999</v>
      </c>
      <c r="O290">
        <v>13.93807</v>
      </c>
      <c r="P290">
        <v>432962</v>
      </c>
      <c r="Q290">
        <v>6153810</v>
      </c>
      <c r="R290" t="s">
        <v>490</v>
      </c>
      <c r="S290">
        <v>1981</v>
      </c>
      <c r="T290" t="s">
        <v>524</v>
      </c>
      <c r="U290" t="s">
        <v>525</v>
      </c>
      <c r="V290" t="s">
        <v>504</v>
      </c>
      <c r="W290" t="s">
        <v>494</v>
      </c>
      <c r="X290" t="s">
        <v>494</v>
      </c>
      <c r="Y290" t="s">
        <v>975</v>
      </c>
      <c r="Z290">
        <v>1</v>
      </c>
      <c r="AA290">
        <v>1</v>
      </c>
      <c r="AE290" t="s">
        <v>42</v>
      </c>
      <c r="AF290" t="s">
        <v>496</v>
      </c>
      <c r="AG290" t="b">
        <v>0</v>
      </c>
      <c r="AH290" t="b">
        <v>0</v>
      </c>
      <c r="AI290" t="b">
        <v>0</v>
      </c>
      <c r="AK290" t="s">
        <v>497</v>
      </c>
      <c r="AL290" t="b">
        <v>0</v>
      </c>
      <c r="AM290" t="b">
        <v>0</v>
      </c>
    </row>
    <row r="291" spans="1:39">
      <c r="A291" t="s">
        <v>976</v>
      </c>
      <c r="B291" t="b">
        <v>1</v>
      </c>
      <c r="C291">
        <v>103001</v>
      </c>
      <c r="D291" t="s">
        <v>372</v>
      </c>
      <c r="E291" t="s">
        <v>373</v>
      </c>
      <c r="F291" t="s">
        <v>488</v>
      </c>
      <c r="G291" t="s">
        <v>489</v>
      </c>
      <c r="H291" t="s">
        <v>41</v>
      </c>
      <c r="I291">
        <v>1</v>
      </c>
      <c r="J291" s="4">
        <v>41764</v>
      </c>
      <c r="K291" s="4">
        <v>41764</v>
      </c>
      <c r="L291" s="5">
        <v>0.39583333333333331</v>
      </c>
      <c r="M291" s="5">
        <v>0.44444444444444442</v>
      </c>
      <c r="N291">
        <v>55.530740000000002</v>
      </c>
      <c r="O291">
        <v>13.879630000000001</v>
      </c>
      <c r="P291">
        <v>429282</v>
      </c>
      <c r="Q291">
        <v>6154424</v>
      </c>
      <c r="R291" t="s">
        <v>490</v>
      </c>
      <c r="S291">
        <v>310</v>
      </c>
      <c r="T291" t="s">
        <v>499</v>
      </c>
      <c r="U291" t="s">
        <v>492</v>
      </c>
      <c r="V291" t="s">
        <v>493</v>
      </c>
      <c r="W291" t="s">
        <v>494</v>
      </c>
      <c r="X291" t="s">
        <v>494</v>
      </c>
      <c r="Y291" t="s">
        <v>965</v>
      </c>
      <c r="Z291">
        <v>1</v>
      </c>
      <c r="AA291">
        <v>1</v>
      </c>
      <c r="AE291" t="s">
        <v>42</v>
      </c>
      <c r="AF291" t="s">
        <v>496</v>
      </c>
      <c r="AG291" t="b">
        <v>0</v>
      </c>
      <c r="AH291" t="b">
        <v>0</v>
      </c>
      <c r="AI291" t="b">
        <v>0</v>
      </c>
      <c r="AK291" t="s">
        <v>497</v>
      </c>
      <c r="AL291" t="b">
        <v>0</v>
      </c>
      <c r="AM291" t="b">
        <v>0</v>
      </c>
    </row>
    <row r="292" spans="1:39">
      <c r="A292" t="s">
        <v>977</v>
      </c>
      <c r="B292" t="b">
        <v>1</v>
      </c>
      <c r="C292">
        <v>100056</v>
      </c>
      <c r="D292" t="s">
        <v>306</v>
      </c>
      <c r="E292" t="s">
        <v>307</v>
      </c>
      <c r="F292" t="s">
        <v>488</v>
      </c>
      <c r="G292" t="s">
        <v>489</v>
      </c>
      <c r="H292" t="s">
        <v>46</v>
      </c>
      <c r="I292">
        <v>1</v>
      </c>
      <c r="J292" s="4">
        <v>41877</v>
      </c>
      <c r="K292" s="4">
        <v>41877</v>
      </c>
      <c r="L292" s="5">
        <v>0</v>
      </c>
      <c r="M292" s="5">
        <v>0</v>
      </c>
      <c r="N292">
        <v>55.530740000000002</v>
      </c>
      <c r="O292">
        <v>13.879630000000001</v>
      </c>
      <c r="P292">
        <v>429282</v>
      </c>
      <c r="Q292">
        <v>6154424</v>
      </c>
      <c r="R292" t="s">
        <v>490</v>
      </c>
      <c r="S292">
        <v>310</v>
      </c>
      <c r="T292" t="s">
        <v>499</v>
      </c>
      <c r="U292" t="s">
        <v>492</v>
      </c>
      <c r="V292" t="s">
        <v>493</v>
      </c>
      <c r="W292" t="s">
        <v>494</v>
      </c>
      <c r="X292" t="s">
        <v>494</v>
      </c>
      <c r="Y292" t="s">
        <v>978</v>
      </c>
      <c r="Z292">
        <v>1</v>
      </c>
      <c r="AA292">
        <v>1</v>
      </c>
      <c r="AE292" t="s">
        <v>542</v>
      </c>
      <c r="AF292" t="s">
        <v>496</v>
      </c>
      <c r="AG292" t="b">
        <v>0</v>
      </c>
      <c r="AH292" t="b">
        <v>0</v>
      </c>
      <c r="AI292" t="b">
        <v>0</v>
      </c>
      <c r="AK292" t="s">
        <v>497</v>
      </c>
      <c r="AL292" t="b">
        <v>0</v>
      </c>
      <c r="AM292" t="b">
        <v>0</v>
      </c>
    </row>
    <row r="293" spans="1:39">
      <c r="A293" t="s">
        <v>979</v>
      </c>
      <c r="B293" t="b">
        <v>1</v>
      </c>
      <c r="C293">
        <v>103037</v>
      </c>
      <c r="D293" t="s">
        <v>368</v>
      </c>
      <c r="E293" t="s">
        <v>369</v>
      </c>
      <c r="F293" t="s">
        <v>488</v>
      </c>
      <c r="G293" t="s">
        <v>489</v>
      </c>
      <c r="H293" t="s">
        <v>85</v>
      </c>
      <c r="I293">
        <v>1</v>
      </c>
      <c r="J293" s="4">
        <v>42072</v>
      </c>
      <c r="K293" s="4">
        <v>42072</v>
      </c>
      <c r="L293" s="5">
        <v>0</v>
      </c>
      <c r="M293" s="5">
        <v>0</v>
      </c>
      <c r="N293">
        <v>55.555309999999999</v>
      </c>
      <c r="O293">
        <v>13.8569</v>
      </c>
      <c r="P293">
        <v>427893</v>
      </c>
      <c r="Q293">
        <v>6157182</v>
      </c>
      <c r="R293" t="s">
        <v>490</v>
      </c>
      <c r="S293">
        <v>140</v>
      </c>
      <c r="T293" t="s">
        <v>491</v>
      </c>
      <c r="U293" t="s">
        <v>492</v>
      </c>
      <c r="V293" t="s">
        <v>493</v>
      </c>
      <c r="W293" t="s">
        <v>494</v>
      </c>
      <c r="X293" t="s">
        <v>494</v>
      </c>
      <c r="Y293" t="s">
        <v>495</v>
      </c>
      <c r="Z293">
        <v>3</v>
      </c>
      <c r="AA293">
        <v>3</v>
      </c>
      <c r="AE293" t="s">
        <v>42</v>
      </c>
      <c r="AF293" t="s">
        <v>496</v>
      </c>
      <c r="AG293" t="b">
        <v>0</v>
      </c>
      <c r="AH293" t="b">
        <v>0</v>
      </c>
      <c r="AI293" t="b">
        <v>0</v>
      </c>
      <c r="AK293" t="s">
        <v>497</v>
      </c>
      <c r="AL293" t="b">
        <v>0</v>
      </c>
      <c r="AM293" t="b">
        <v>0</v>
      </c>
    </row>
    <row r="294" spans="1:39">
      <c r="A294" t="s">
        <v>980</v>
      </c>
      <c r="B294" t="b">
        <v>1</v>
      </c>
      <c r="C294">
        <v>103055</v>
      </c>
      <c r="D294" t="s">
        <v>413</v>
      </c>
      <c r="E294" t="s">
        <v>414</v>
      </c>
      <c r="F294" t="s">
        <v>488</v>
      </c>
      <c r="G294" t="s">
        <v>489</v>
      </c>
      <c r="H294" t="s">
        <v>41</v>
      </c>
      <c r="I294">
        <v>1</v>
      </c>
      <c r="J294" s="4">
        <v>41746</v>
      </c>
      <c r="K294" s="4">
        <v>41746</v>
      </c>
      <c r="L294" s="5">
        <v>0.31944444444444442</v>
      </c>
      <c r="M294" s="5">
        <v>0.35069444444444442</v>
      </c>
      <c r="N294">
        <v>55.530740000000002</v>
      </c>
      <c r="O294">
        <v>13.879630000000001</v>
      </c>
      <c r="P294">
        <v>429282</v>
      </c>
      <c r="Q294">
        <v>6154424</v>
      </c>
      <c r="R294" t="s">
        <v>490</v>
      </c>
      <c r="S294">
        <v>310</v>
      </c>
      <c r="T294" t="s">
        <v>499</v>
      </c>
      <c r="U294" t="s">
        <v>492</v>
      </c>
      <c r="V294" t="s">
        <v>493</v>
      </c>
      <c r="W294" t="s">
        <v>494</v>
      </c>
      <c r="X294" t="s">
        <v>494</v>
      </c>
      <c r="Y294" t="s">
        <v>839</v>
      </c>
      <c r="Z294">
        <v>1</v>
      </c>
      <c r="AA294">
        <v>1</v>
      </c>
      <c r="AE294" t="s">
        <v>42</v>
      </c>
      <c r="AF294" t="s">
        <v>496</v>
      </c>
      <c r="AG294" t="b">
        <v>0</v>
      </c>
      <c r="AH294" t="b">
        <v>0</v>
      </c>
      <c r="AI294" t="b">
        <v>0</v>
      </c>
      <c r="AK294" t="s">
        <v>497</v>
      </c>
      <c r="AL294" t="b">
        <v>0</v>
      </c>
      <c r="AM294" t="b">
        <v>0</v>
      </c>
    </row>
    <row r="295" spans="1:39">
      <c r="A295" t="s">
        <v>981</v>
      </c>
      <c r="B295" t="b">
        <v>1</v>
      </c>
      <c r="C295">
        <v>100114</v>
      </c>
      <c r="D295" t="s">
        <v>49</v>
      </c>
      <c r="E295" t="s">
        <v>50</v>
      </c>
      <c r="F295" t="s">
        <v>488</v>
      </c>
      <c r="G295" t="s">
        <v>489</v>
      </c>
      <c r="H295" t="s">
        <v>41</v>
      </c>
      <c r="I295">
        <v>1</v>
      </c>
      <c r="J295" s="4">
        <v>41420</v>
      </c>
      <c r="K295" s="4">
        <v>41420</v>
      </c>
      <c r="L295" s="5">
        <v>0.79166666666666663</v>
      </c>
      <c r="M295" s="5">
        <v>0.79861111111111116</v>
      </c>
      <c r="N295">
        <v>55.531309999999998</v>
      </c>
      <c r="O295">
        <v>13.975429999999999</v>
      </c>
      <c r="P295">
        <v>435330</v>
      </c>
      <c r="Q295">
        <v>6154394</v>
      </c>
      <c r="R295" t="s">
        <v>490</v>
      </c>
      <c r="S295">
        <v>400</v>
      </c>
      <c r="T295" t="s">
        <v>982</v>
      </c>
      <c r="U295" t="s">
        <v>947</v>
      </c>
      <c r="V295" t="s">
        <v>504</v>
      </c>
      <c r="W295" t="s">
        <v>494</v>
      </c>
      <c r="X295" t="s">
        <v>494</v>
      </c>
      <c r="Y295" t="s">
        <v>581</v>
      </c>
      <c r="Z295">
        <v>1</v>
      </c>
      <c r="AA295">
        <v>1</v>
      </c>
      <c r="AE295" t="s">
        <v>538</v>
      </c>
      <c r="AF295" t="s">
        <v>496</v>
      </c>
      <c r="AG295" t="b">
        <v>0</v>
      </c>
      <c r="AH295" t="b">
        <v>0</v>
      </c>
      <c r="AI295" t="b">
        <v>0</v>
      </c>
      <c r="AK295" t="s">
        <v>497</v>
      </c>
      <c r="AL295" t="b">
        <v>0</v>
      </c>
      <c r="AM295" t="b">
        <v>0</v>
      </c>
    </row>
    <row r="296" spans="1:39">
      <c r="A296" t="s">
        <v>983</v>
      </c>
      <c r="B296" t="b">
        <v>1</v>
      </c>
      <c r="C296">
        <v>102987</v>
      </c>
      <c r="D296" t="s">
        <v>388</v>
      </c>
      <c r="E296" t="s">
        <v>389</v>
      </c>
      <c r="F296" t="s">
        <v>488</v>
      </c>
      <c r="G296" t="s">
        <v>489</v>
      </c>
      <c r="H296" t="s">
        <v>41</v>
      </c>
      <c r="I296">
        <v>1</v>
      </c>
      <c r="J296" s="4">
        <v>41769</v>
      </c>
      <c r="K296" s="4">
        <v>41769</v>
      </c>
      <c r="L296" s="5">
        <v>0</v>
      </c>
      <c r="M296" s="5">
        <v>0</v>
      </c>
      <c r="N296">
        <v>55.555309999999999</v>
      </c>
      <c r="O296">
        <v>13.8569</v>
      </c>
      <c r="P296">
        <v>427893</v>
      </c>
      <c r="Q296">
        <v>6157182</v>
      </c>
      <c r="R296" t="s">
        <v>490</v>
      </c>
      <c r="S296">
        <v>140</v>
      </c>
      <c r="T296" t="s">
        <v>491</v>
      </c>
      <c r="U296" t="s">
        <v>492</v>
      </c>
      <c r="V296" t="s">
        <v>493</v>
      </c>
      <c r="W296" t="s">
        <v>494</v>
      </c>
      <c r="X296" t="s">
        <v>494</v>
      </c>
      <c r="Y296" t="s">
        <v>495</v>
      </c>
      <c r="Z296">
        <v>2</v>
      </c>
      <c r="AA296">
        <v>2</v>
      </c>
      <c r="AE296" t="s">
        <v>429</v>
      </c>
      <c r="AF296" t="s">
        <v>496</v>
      </c>
      <c r="AG296" t="b">
        <v>0</v>
      </c>
      <c r="AH296" t="b">
        <v>0</v>
      </c>
      <c r="AI296" t="b">
        <v>0</v>
      </c>
      <c r="AK296" t="s">
        <v>497</v>
      </c>
      <c r="AL296" t="b">
        <v>0</v>
      </c>
      <c r="AM296" t="b">
        <v>0</v>
      </c>
    </row>
    <row r="297" spans="1:39">
      <c r="A297" t="s">
        <v>984</v>
      </c>
      <c r="B297" t="b">
        <v>1</v>
      </c>
      <c r="C297">
        <v>102119</v>
      </c>
      <c r="D297" t="s">
        <v>291</v>
      </c>
      <c r="E297" t="s">
        <v>292</v>
      </c>
      <c r="F297" t="s">
        <v>488</v>
      </c>
      <c r="G297" t="s">
        <v>489</v>
      </c>
      <c r="H297" t="s">
        <v>41</v>
      </c>
      <c r="I297">
        <v>1</v>
      </c>
      <c r="J297" s="4">
        <v>44682</v>
      </c>
      <c r="K297" s="4">
        <v>44682</v>
      </c>
      <c r="N297">
        <v>55.525750000000002</v>
      </c>
      <c r="O297">
        <v>13.88649</v>
      </c>
      <c r="P297">
        <v>429706</v>
      </c>
      <c r="Q297">
        <v>6153862</v>
      </c>
      <c r="R297" t="s">
        <v>490</v>
      </c>
      <c r="S297">
        <v>311</v>
      </c>
      <c r="T297" t="s">
        <v>515</v>
      </c>
      <c r="U297" t="s">
        <v>516</v>
      </c>
      <c r="V297" t="s">
        <v>493</v>
      </c>
      <c r="W297" t="s">
        <v>494</v>
      </c>
      <c r="X297" t="s">
        <v>494</v>
      </c>
      <c r="Y297" t="s">
        <v>985</v>
      </c>
      <c r="Z297">
        <v>1</v>
      </c>
      <c r="AA297">
        <v>1</v>
      </c>
      <c r="AE297" t="s">
        <v>42</v>
      </c>
      <c r="AF297" t="s">
        <v>496</v>
      </c>
      <c r="AG297" t="b">
        <v>0</v>
      </c>
      <c r="AH297" t="b">
        <v>0</v>
      </c>
      <c r="AI297" t="b">
        <v>0</v>
      </c>
      <c r="AK297" t="s">
        <v>497</v>
      </c>
      <c r="AL297" t="b">
        <v>0</v>
      </c>
      <c r="AM297" t="b">
        <v>0</v>
      </c>
    </row>
    <row r="298" spans="1:39">
      <c r="A298" t="s">
        <v>986</v>
      </c>
      <c r="B298" t="b">
        <v>1</v>
      </c>
      <c r="C298">
        <v>102950</v>
      </c>
      <c r="D298" t="s">
        <v>150</v>
      </c>
      <c r="E298" t="s">
        <v>151</v>
      </c>
      <c r="F298" t="s">
        <v>488</v>
      </c>
      <c r="G298" t="s">
        <v>489</v>
      </c>
      <c r="H298" t="s">
        <v>41</v>
      </c>
      <c r="I298">
        <v>1</v>
      </c>
      <c r="J298" s="4">
        <v>44637</v>
      </c>
      <c r="K298" s="4">
        <v>44637</v>
      </c>
      <c r="L298" s="5">
        <v>0.58333333333333337</v>
      </c>
      <c r="M298" s="5">
        <v>0.58333333333333337</v>
      </c>
      <c r="N298">
        <v>55.551600000000001</v>
      </c>
      <c r="O298">
        <v>13.955550000000001</v>
      </c>
      <c r="P298">
        <v>434109</v>
      </c>
      <c r="Q298">
        <v>6156670</v>
      </c>
      <c r="R298" t="s">
        <v>490</v>
      </c>
      <c r="S298">
        <v>250</v>
      </c>
      <c r="T298" t="s">
        <v>765</v>
      </c>
      <c r="U298" t="s">
        <v>508</v>
      </c>
      <c r="V298" t="s">
        <v>504</v>
      </c>
      <c r="W298" t="s">
        <v>494</v>
      </c>
      <c r="X298" t="s">
        <v>494</v>
      </c>
      <c r="Y298" t="s">
        <v>536</v>
      </c>
      <c r="Z298">
        <v>2</v>
      </c>
      <c r="AA298">
        <v>2</v>
      </c>
      <c r="AD298" t="s">
        <v>527</v>
      </c>
      <c r="AE298" t="s">
        <v>538</v>
      </c>
      <c r="AF298" t="s">
        <v>496</v>
      </c>
      <c r="AG298" t="b">
        <v>0</v>
      </c>
      <c r="AH298" t="b">
        <v>0</v>
      </c>
      <c r="AI298" t="b">
        <v>0</v>
      </c>
      <c r="AK298" t="s">
        <v>497</v>
      </c>
      <c r="AL298" t="b">
        <v>0</v>
      </c>
      <c r="AM298" t="b">
        <v>0</v>
      </c>
    </row>
    <row r="299" spans="1:39">
      <c r="A299" t="s">
        <v>987</v>
      </c>
      <c r="B299" t="b">
        <v>1</v>
      </c>
      <c r="C299">
        <v>103042</v>
      </c>
      <c r="D299" t="s">
        <v>398</v>
      </c>
      <c r="E299" t="s">
        <v>399</v>
      </c>
      <c r="F299" t="s">
        <v>488</v>
      </c>
      <c r="G299" t="s">
        <v>489</v>
      </c>
      <c r="H299" t="s">
        <v>85</v>
      </c>
      <c r="I299">
        <v>1</v>
      </c>
      <c r="J299" s="4">
        <v>45397</v>
      </c>
      <c r="K299" s="4">
        <v>45397</v>
      </c>
      <c r="N299">
        <v>55.558860000000003</v>
      </c>
      <c r="O299">
        <v>13.883039999999999</v>
      </c>
      <c r="P299">
        <v>429548</v>
      </c>
      <c r="Q299">
        <v>6157550</v>
      </c>
      <c r="R299" t="s">
        <v>490</v>
      </c>
      <c r="S299">
        <v>696</v>
      </c>
      <c r="T299" t="s">
        <v>682</v>
      </c>
      <c r="U299" t="s">
        <v>532</v>
      </c>
      <c r="V299" t="s">
        <v>504</v>
      </c>
      <c r="W299" t="s">
        <v>494</v>
      </c>
      <c r="X299" t="s">
        <v>494</v>
      </c>
      <c r="Y299" t="s">
        <v>526</v>
      </c>
      <c r="Z299">
        <v>1</v>
      </c>
      <c r="AA299">
        <v>1</v>
      </c>
      <c r="AE299" t="s">
        <v>42</v>
      </c>
      <c r="AF299" t="s">
        <v>496</v>
      </c>
      <c r="AG299" t="b">
        <v>0</v>
      </c>
      <c r="AH299" t="b">
        <v>0</v>
      </c>
      <c r="AI299" t="b">
        <v>0</v>
      </c>
      <c r="AK299" t="s">
        <v>497</v>
      </c>
      <c r="AL299" t="b">
        <v>0</v>
      </c>
      <c r="AM299" t="b">
        <v>0</v>
      </c>
    </row>
    <row r="300" spans="1:39">
      <c r="A300" t="s">
        <v>988</v>
      </c>
      <c r="B300" t="b">
        <v>1</v>
      </c>
      <c r="C300">
        <v>100065</v>
      </c>
      <c r="D300" t="s">
        <v>138</v>
      </c>
      <c r="E300" t="s">
        <v>139</v>
      </c>
      <c r="F300" t="s">
        <v>488</v>
      </c>
      <c r="G300" t="s">
        <v>489</v>
      </c>
      <c r="H300" t="s">
        <v>46</v>
      </c>
      <c r="I300">
        <v>1</v>
      </c>
      <c r="J300" s="4">
        <v>45395</v>
      </c>
      <c r="K300" s="4">
        <v>45395</v>
      </c>
      <c r="N300">
        <v>55.530740000000002</v>
      </c>
      <c r="O300">
        <v>13.879630000000001</v>
      </c>
      <c r="P300">
        <v>429282</v>
      </c>
      <c r="Q300">
        <v>6154424</v>
      </c>
      <c r="R300" t="s">
        <v>490</v>
      </c>
      <c r="S300">
        <v>310</v>
      </c>
      <c r="T300" t="s">
        <v>499</v>
      </c>
      <c r="U300" t="s">
        <v>492</v>
      </c>
      <c r="V300" t="s">
        <v>493</v>
      </c>
      <c r="W300" t="s">
        <v>494</v>
      </c>
      <c r="X300" t="s">
        <v>494</v>
      </c>
      <c r="Y300" t="s">
        <v>989</v>
      </c>
      <c r="Z300">
        <v>2</v>
      </c>
      <c r="AA300">
        <v>2</v>
      </c>
      <c r="AC300" t="s">
        <v>512</v>
      </c>
      <c r="AE300" t="s">
        <v>51</v>
      </c>
      <c r="AF300" t="s">
        <v>496</v>
      </c>
      <c r="AG300" t="b">
        <v>0</v>
      </c>
      <c r="AH300" t="b">
        <v>0</v>
      </c>
      <c r="AI300" t="b">
        <v>0</v>
      </c>
      <c r="AK300" t="s">
        <v>497</v>
      </c>
      <c r="AL300" t="b">
        <v>0</v>
      </c>
      <c r="AM300" t="b">
        <v>0</v>
      </c>
    </row>
    <row r="301" spans="1:39">
      <c r="A301" t="s">
        <v>990</v>
      </c>
      <c r="B301" t="b">
        <v>1</v>
      </c>
      <c r="C301">
        <v>102104</v>
      </c>
      <c r="D301" t="s">
        <v>126</v>
      </c>
      <c r="E301" t="s">
        <v>127</v>
      </c>
      <c r="F301" t="s">
        <v>488</v>
      </c>
      <c r="G301" t="s">
        <v>489</v>
      </c>
      <c r="H301" t="s">
        <v>46</v>
      </c>
      <c r="I301">
        <v>1</v>
      </c>
      <c r="J301" s="4">
        <v>45055</v>
      </c>
      <c r="K301" s="4">
        <v>45055</v>
      </c>
      <c r="L301" s="5">
        <v>0.33333333333333331</v>
      </c>
      <c r="M301" s="5">
        <v>0.33333333333333331</v>
      </c>
      <c r="N301">
        <v>55.54081</v>
      </c>
      <c r="O301">
        <v>13.95609</v>
      </c>
      <c r="P301">
        <v>434125</v>
      </c>
      <c r="Q301">
        <v>6155470</v>
      </c>
      <c r="R301" t="s">
        <v>490</v>
      </c>
      <c r="S301">
        <v>1500</v>
      </c>
      <c r="T301" t="s">
        <v>507</v>
      </c>
      <c r="U301" t="s">
        <v>508</v>
      </c>
      <c r="V301" t="s">
        <v>504</v>
      </c>
      <c r="W301" t="s">
        <v>494</v>
      </c>
      <c r="X301" t="s">
        <v>494</v>
      </c>
      <c r="Y301" t="s">
        <v>572</v>
      </c>
      <c r="Z301">
        <v>2</v>
      </c>
      <c r="AA301">
        <v>2</v>
      </c>
      <c r="AD301" t="s">
        <v>527</v>
      </c>
      <c r="AE301" t="s">
        <v>538</v>
      </c>
      <c r="AF301" t="s">
        <v>496</v>
      </c>
      <c r="AG301" t="b">
        <v>0</v>
      </c>
      <c r="AH301" t="b">
        <v>0</v>
      </c>
      <c r="AI301" t="b">
        <v>0</v>
      </c>
      <c r="AK301" t="s">
        <v>497</v>
      </c>
      <c r="AL301" t="b">
        <v>0</v>
      </c>
      <c r="AM301" t="b">
        <v>0</v>
      </c>
    </row>
    <row r="302" spans="1:39">
      <c r="A302" t="s">
        <v>991</v>
      </c>
      <c r="B302" t="b">
        <v>1</v>
      </c>
      <c r="C302">
        <v>100124</v>
      </c>
      <c r="D302" t="s">
        <v>352</v>
      </c>
      <c r="E302" t="s">
        <v>353</v>
      </c>
      <c r="F302" t="s">
        <v>488</v>
      </c>
      <c r="G302" t="s">
        <v>489</v>
      </c>
      <c r="H302" t="s">
        <v>81</v>
      </c>
      <c r="I302">
        <v>1</v>
      </c>
      <c r="J302" s="4">
        <v>45079</v>
      </c>
      <c r="K302" s="4">
        <v>45079</v>
      </c>
      <c r="N302">
        <v>55.548569999999998</v>
      </c>
      <c r="O302">
        <v>13.97132</v>
      </c>
      <c r="P302">
        <v>435099</v>
      </c>
      <c r="Q302">
        <v>6156319</v>
      </c>
      <c r="R302" t="s">
        <v>490</v>
      </c>
      <c r="S302">
        <v>200</v>
      </c>
      <c r="T302" t="s">
        <v>658</v>
      </c>
      <c r="U302" t="s">
        <v>508</v>
      </c>
      <c r="V302" t="s">
        <v>504</v>
      </c>
      <c r="W302" t="s">
        <v>494</v>
      </c>
      <c r="X302" t="s">
        <v>494</v>
      </c>
      <c r="Y302" t="s">
        <v>536</v>
      </c>
      <c r="Z302">
        <v>12</v>
      </c>
      <c r="AA302">
        <v>12</v>
      </c>
      <c r="AE302" t="s">
        <v>62</v>
      </c>
      <c r="AF302" t="s">
        <v>496</v>
      </c>
      <c r="AG302" t="b">
        <v>0</v>
      </c>
      <c r="AH302" t="b">
        <v>0</v>
      </c>
      <c r="AI302" t="b">
        <v>0</v>
      </c>
      <c r="AK302" t="s">
        <v>497</v>
      </c>
      <c r="AL302" t="b">
        <v>0</v>
      </c>
      <c r="AM302" t="b">
        <v>0</v>
      </c>
    </row>
    <row r="303" spans="1:39">
      <c r="A303" t="s">
        <v>992</v>
      </c>
      <c r="B303" t="b">
        <v>1</v>
      </c>
      <c r="C303">
        <v>102987</v>
      </c>
      <c r="D303" t="s">
        <v>388</v>
      </c>
      <c r="E303" t="s">
        <v>389</v>
      </c>
      <c r="F303" t="s">
        <v>488</v>
      </c>
      <c r="G303" t="s">
        <v>489</v>
      </c>
      <c r="H303" t="s">
        <v>41</v>
      </c>
      <c r="I303">
        <v>1</v>
      </c>
      <c r="J303" s="4">
        <v>45101</v>
      </c>
      <c r="K303" s="4">
        <v>45101</v>
      </c>
      <c r="L303" s="5">
        <v>0.41249999999999998</v>
      </c>
      <c r="M303" s="5">
        <v>0.47083333333333333</v>
      </c>
      <c r="N303">
        <v>55.525739999999999</v>
      </c>
      <c r="O303">
        <v>13.93807</v>
      </c>
      <c r="P303">
        <v>432962</v>
      </c>
      <c r="Q303">
        <v>6153810</v>
      </c>
      <c r="R303" t="s">
        <v>490</v>
      </c>
      <c r="S303">
        <v>1981</v>
      </c>
      <c r="T303" t="s">
        <v>524</v>
      </c>
      <c r="U303" t="s">
        <v>525</v>
      </c>
      <c r="V303" t="s">
        <v>504</v>
      </c>
      <c r="W303" t="s">
        <v>494</v>
      </c>
      <c r="X303" t="s">
        <v>494</v>
      </c>
      <c r="Y303" t="s">
        <v>993</v>
      </c>
      <c r="Z303">
        <v>1</v>
      </c>
      <c r="AA303">
        <v>1</v>
      </c>
      <c r="AE303" t="s">
        <v>538</v>
      </c>
      <c r="AF303" t="s">
        <v>496</v>
      </c>
      <c r="AG303" t="b">
        <v>0</v>
      </c>
      <c r="AH303" t="b">
        <v>0</v>
      </c>
      <c r="AI303" t="b">
        <v>0</v>
      </c>
      <c r="AK303" t="s">
        <v>497</v>
      </c>
      <c r="AL303" t="b">
        <v>0</v>
      </c>
      <c r="AM303" t="b">
        <v>0</v>
      </c>
    </row>
    <row r="304" spans="1:39">
      <c r="A304" t="s">
        <v>994</v>
      </c>
      <c r="B304" t="b">
        <v>1</v>
      </c>
      <c r="C304">
        <v>100048</v>
      </c>
      <c r="D304" t="s">
        <v>304</v>
      </c>
      <c r="E304" t="s">
        <v>305</v>
      </c>
      <c r="F304" t="s">
        <v>488</v>
      </c>
      <c r="G304" t="s">
        <v>489</v>
      </c>
      <c r="H304" t="s">
        <v>41</v>
      </c>
      <c r="I304">
        <v>1</v>
      </c>
      <c r="J304" s="4">
        <v>43925</v>
      </c>
      <c r="K304" s="4">
        <v>43925</v>
      </c>
      <c r="L304" s="5">
        <v>0.35416666666666669</v>
      </c>
      <c r="M304" s="5">
        <v>0.42708333333333331</v>
      </c>
      <c r="N304">
        <v>55.538980000000002</v>
      </c>
      <c r="O304">
        <v>13.96345</v>
      </c>
      <c r="P304">
        <v>434586</v>
      </c>
      <c r="Q304">
        <v>6155259</v>
      </c>
      <c r="R304" t="s">
        <v>490</v>
      </c>
      <c r="S304">
        <v>250</v>
      </c>
      <c r="T304" t="s">
        <v>995</v>
      </c>
      <c r="U304" t="s">
        <v>947</v>
      </c>
      <c r="V304" t="s">
        <v>504</v>
      </c>
      <c r="W304" t="s">
        <v>494</v>
      </c>
      <c r="X304" t="s">
        <v>494</v>
      </c>
      <c r="Y304" t="s">
        <v>536</v>
      </c>
      <c r="Z304">
        <v>1</v>
      </c>
      <c r="AA304">
        <v>1</v>
      </c>
      <c r="AE304" t="s">
        <v>42</v>
      </c>
      <c r="AF304" t="s">
        <v>496</v>
      </c>
      <c r="AG304" t="b">
        <v>0</v>
      </c>
      <c r="AH304" t="b">
        <v>0</v>
      </c>
      <c r="AI304" t="b">
        <v>0</v>
      </c>
      <c r="AK304" t="s">
        <v>497</v>
      </c>
      <c r="AL304" t="b">
        <v>0</v>
      </c>
      <c r="AM304" t="b">
        <v>0</v>
      </c>
    </row>
    <row r="305" spans="1:39">
      <c r="A305" t="s">
        <v>996</v>
      </c>
      <c r="B305" t="b">
        <v>1</v>
      </c>
      <c r="C305">
        <v>100045</v>
      </c>
      <c r="D305" t="s">
        <v>74</v>
      </c>
      <c r="E305" t="s">
        <v>75</v>
      </c>
      <c r="F305" t="s">
        <v>488</v>
      </c>
      <c r="G305" t="s">
        <v>489</v>
      </c>
      <c r="H305" t="s">
        <v>46</v>
      </c>
      <c r="I305">
        <v>1</v>
      </c>
      <c r="J305" s="4">
        <v>43953</v>
      </c>
      <c r="K305" s="4">
        <v>43953</v>
      </c>
      <c r="L305" s="5">
        <v>0.48958333333333331</v>
      </c>
      <c r="M305" s="5">
        <v>0.5625</v>
      </c>
      <c r="N305">
        <v>55.515189999999997</v>
      </c>
      <c r="O305">
        <v>13.899330000000001</v>
      </c>
      <c r="P305">
        <v>430498</v>
      </c>
      <c r="Q305">
        <v>6152673</v>
      </c>
      <c r="R305" t="s">
        <v>490</v>
      </c>
      <c r="S305">
        <v>125</v>
      </c>
      <c r="T305" t="s">
        <v>552</v>
      </c>
      <c r="U305" t="s">
        <v>525</v>
      </c>
      <c r="V305" t="s">
        <v>504</v>
      </c>
      <c r="W305" t="s">
        <v>494</v>
      </c>
      <c r="X305" t="s">
        <v>494</v>
      </c>
      <c r="Y305" t="s">
        <v>536</v>
      </c>
      <c r="Z305">
        <v>1</v>
      </c>
      <c r="AA305">
        <v>1</v>
      </c>
      <c r="AE305" t="s">
        <v>538</v>
      </c>
      <c r="AF305" t="s">
        <v>496</v>
      </c>
      <c r="AG305" t="b">
        <v>0</v>
      </c>
      <c r="AH305" t="b">
        <v>0</v>
      </c>
      <c r="AI305" t="b">
        <v>0</v>
      </c>
      <c r="AK305" t="s">
        <v>497</v>
      </c>
      <c r="AL305" t="b">
        <v>0</v>
      </c>
      <c r="AM305" t="b">
        <v>0</v>
      </c>
    </row>
    <row r="306" spans="1:39">
      <c r="A306" t="s">
        <v>997</v>
      </c>
      <c r="B306" t="b">
        <v>1</v>
      </c>
      <c r="C306">
        <v>103020</v>
      </c>
      <c r="D306" t="s">
        <v>328</v>
      </c>
      <c r="E306" t="s">
        <v>329</v>
      </c>
      <c r="F306" t="s">
        <v>488</v>
      </c>
      <c r="G306" t="s">
        <v>489</v>
      </c>
      <c r="H306" t="s">
        <v>41</v>
      </c>
      <c r="I306">
        <v>1</v>
      </c>
      <c r="J306" s="4">
        <v>43953</v>
      </c>
      <c r="K306" s="4">
        <v>43953</v>
      </c>
      <c r="L306" s="5">
        <v>0.58333333333333337</v>
      </c>
      <c r="M306" s="5">
        <v>0.625</v>
      </c>
      <c r="N306">
        <v>55.530740000000002</v>
      </c>
      <c r="O306">
        <v>13.879630000000001</v>
      </c>
      <c r="P306">
        <v>429282</v>
      </c>
      <c r="Q306">
        <v>6154424</v>
      </c>
      <c r="R306" t="s">
        <v>490</v>
      </c>
      <c r="S306">
        <v>310</v>
      </c>
      <c r="T306" t="s">
        <v>499</v>
      </c>
      <c r="U306" t="s">
        <v>492</v>
      </c>
      <c r="V306" t="s">
        <v>493</v>
      </c>
      <c r="W306" t="s">
        <v>494</v>
      </c>
      <c r="X306" t="s">
        <v>494</v>
      </c>
      <c r="Y306" t="s">
        <v>998</v>
      </c>
      <c r="Z306">
        <v>1</v>
      </c>
      <c r="AA306">
        <v>1</v>
      </c>
      <c r="AE306" t="s">
        <v>42</v>
      </c>
      <c r="AF306" t="s">
        <v>496</v>
      </c>
      <c r="AG306" t="b">
        <v>0</v>
      </c>
      <c r="AH306" t="b">
        <v>0</v>
      </c>
      <c r="AI306" t="b">
        <v>0</v>
      </c>
      <c r="AK306" t="s">
        <v>497</v>
      </c>
      <c r="AL306" t="b">
        <v>0</v>
      </c>
      <c r="AM306" t="b">
        <v>0</v>
      </c>
    </row>
    <row r="307" spans="1:39">
      <c r="A307" t="s">
        <v>999</v>
      </c>
      <c r="B307" t="b">
        <v>1</v>
      </c>
      <c r="C307">
        <v>103055</v>
      </c>
      <c r="D307" t="s">
        <v>413</v>
      </c>
      <c r="E307" t="s">
        <v>414</v>
      </c>
      <c r="F307" t="s">
        <v>488</v>
      </c>
      <c r="G307" t="s">
        <v>489</v>
      </c>
      <c r="H307" t="s">
        <v>41</v>
      </c>
      <c r="I307">
        <v>1</v>
      </c>
      <c r="J307" s="4">
        <v>43676</v>
      </c>
      <c r="K307" s="4">
        <v>43676</v>
      </c>
      <c r="L307" s="5">
        <v>0.4548611111111111</v>
      </c>
      <c r="M307" s="5">
        <v>0.51388888888888884</v>
      </c>
      <c r="N307">
        <v>55.530740000000002</v>
      </c>
      <c r="O307">
        <v>13.879630000000001</v>
      </c>
      <c r="P307">
        <v>429282</v>
      </c>
      <c r="Q307">
        <v>6154424</v>
      </c>
      <c r="R307" t="s">
        <v>490</v>
      </c>
      <c r="S307">
        <v>310</v>
      </c>
      <c r="T307" t="s">
        <v>499</v>
      </c>
      <c r="U307" t="s">
        <v>492</v>
      </c>
      <c r="V307" t="s">
        <v>493</v>
      </c>
      <c r="W307" t="s">
        <v>494</v>
      </c>
      <c r="X307" t="s">
        <v>494</v>
      </c>
      <c r="Y307" t="s">
        <v>822</v>
      </c>
      <c r="Z307">
        <v>1</v>
      </c>
      <c r="AA307">
        <v>1</v>
      </c>
      <c r="AE307" t="s">
        <v>42</v>
      </c>
      <c r="AF307" t="s">
        <v>496</v>
      </c>
      <c r="AG307" t="b">
        <v>0</v>
      </c>
      <c r="AH307" t="b">
        <v>0</v>
      </c>
      <c r="AI307" t="b">
        <v>0</v>
      </c>
      <c r="AK307" t="s">
        <v>497</v>
      </c>
      <c r="AL307" t="b">
        <v>0</v>
      </c>
      <c r="AM307" t="b">
        <v>0</v>
      </c>
    </row>
    <row r="308" spans="1:39">
      <c r="A308" t="s">
        <v>1000</v>
      </c>
      <c r="B308" t="b">
        <v>1</v>
      </c>
      <c r="C308">
        <v>102963</v>
      </c>
      <c r="D308" t="s">
        <v>216</v>
      </c>
      <c r="E308" t="s">
        <v>217</v>
      </c>
      <c r="F308" t="s">
        <v>488</v>
      </c>
      <c r="G308" t="s">
        <v>489</v>
      </c>
      <c r="H308" t="s">
        <v>41</v>
      </c>
      <c r="I308">
        <v>1</v>
      </c>
      <c r="J308" s="4">
        <v>45441</v>
      </c>
      <c r="K308" s="4">
        <v>45441</v>
      </c>
      <c r="L308" s="5">
        <v>0.375</v>
      </c>
      <c r="M308" s="5">
        <v>0.375</v>
      </c>
      <c r="N308">
        <v>55.54081</v>
      </c>
      <c r="O308">
        <v>13.95609</v>
      </c>
      <c r="P308">
        <v>434125</v>
      </c>
      <c r="Q308">
        <v>6155470</v>
      </c>
      <c r="R308" t="s">
        <v>490</v>
      </c>
      <c r="S308">
        <v>1500</v>
      </c>
      <c r="T308" t="s">
        <v>507</v>
      </c>
      <c r="U308" t="s">
        <v>508</v>
      </c>
      <c r="V308" t="s">
        <v>504</v>
      </c>
      <c r="W308" t="s">
        <v>494</v>
      </c>
      <c r="X308" t="s">
        <v>494</v>
      </c>
      <c r="Y308" t="s">
        <v>572</v>
      </c>
      <c r="Z308">
        <v>2</v>
      </c>
      <c r="AA308">
        <v>2</v>
      </c>
      <c r="AE308" t="s">
        <v>429</v>
      </c>
      <c r="AF308" t="s">
        <v>496</v>
      </c>
      <c r="AG308" t="b">
        <v>0</v>
      </c>
      <c r="AH308" t="b">
        <v>0</v>
      </c>
      <c r="AI308" t="b">
        <v>0</v>
      </c>
      <c r="AK308" t="s">
        <v>497</v>
      </c>
      <c r="AL308" t="b">
        <v>0</v>
      </c>
      <c r="AM308" t="b">
        <v>0</v>
      </c>
    </row>
    <row r="309" spans="1:39">
      <c r="A309" t="s">
        <v>1001</v>
      </c>
      <c r="B309" t="b">
        <v>1</v>
      </c>
      <c r="C309">
        <v>102990</v>
      </c>
      <c r="D309" t="s">
        <v>39</v>
      </c>
      <c r="E309" t="s">
        <v>40</v>
      </c>
      <c r="F309" t="s">
        <v>488</v>
      </c>
      <c r="G309" t="s">
        <v>489</v>
      </c>
      <c r="H309" t="s">
        <v>41</v>
      </c>
      <c r="I309">
        <v>1</v>
      </c>
      <c r="J309" s="4">
        <v>45731</v>
      </c>
      <c r="K309" s="4">
        <v>45731</v>
      </c>
      <c r="N309">
        <v>55.530740000000002</v>
      </c>
      <c r="O309">
        <v>13.879630000000001</v>
      </c>
      <c r="P309">
        <v>429282</v>
      </c>
      <c r="Q309">
        <v>6154424</v>
      </c>
      <c r="R309" t="s">
        <v>490</v>
      </c>
      <c r="S309">
        <v>310</v>
      </c>
      <c r="T309" t="s">
        <v>499</v>
      </c>
      <c r="U309" t="s">
        <v>492</v>
      </c>
      <c r="V309" t="s">
        <v>493</v>
      </c>
      <c r="W309" t="s">
        <v>494</v>
      </c>
      <c r="X309" t="s">
        <v>494</v>
      </c>
      <c r="Y309" t="s">
        <v>1002</v>
      </c>
      <c r="Z309">
        <v>1</v>
      </c>
      <c r="AA309">
        <v>1</v>
      </c>
      <c r="AE309" t="s">
        <v>42</v>
      </c>
      <c r="AF309" t="s">
        <v>496</v>
      </c>
      <c r="AG309" t="b">
        <v>0</v>
      </c>
      <c r="AH309" t="b">
        <v>0</v>
      </c>
      <c r="AI309" t="b">
        <v>0</v>
      </c>
      <c r="AK309" t="s">
        <v>497</v>
      </c>
      <c r="AL309" t="b">
        <v>0</v>
      </c>
      <c r="AM309" t="b">
        <v>0</v>
      </c>
    </row>
    <row r="310" spans="1:39">
      <c r="A310" t="s">
        <v>1003</v>
      </c>
      <c r="B310" t="b">
        <v>1</v>
      </c>
      <c r="C310">
        <v>102952</v>
      </c>
      <c r="D310" t="s">
        <v>158</v>
      </c>
      <c r="E310" t="s">
        <v>159</v>
      </c>
      <c r="F310" t="s">
        <v>488</v>
      </c>
      <c r="G310" t="s">
        <v>489</v>
      </c>
      <c r="H310" t="s">
        <v>85</v>
      </c>
      <c r="I310">
        <v>1</v>
      </c>
      <c r="J310" s="4">
        <v>45431</v>
      </c>
      <c r="K310" s="4">
        <v>45431</v>
      </c>
      <c r="L310" s="5">
        <v>0.51041666666666663</v>
      </c>
      <c r="M310" s="5">
        <v>0.60416666666666663</v>
      </c>
      <c r="N310">
        <v>55.515189999999997</v>
      </c>
      <c r="O310">
        <v>13.899330000000001</v>
      </c>
      <c r="P310">
        <v>430498</v>
      </c>
      <c r="Q310">
        <v>6152673</v>
      </c>
      <c r="R310" t="s">
        <v>490</v>
      </c>
      <c r="S310">
        <v>125</v>
      </c>
      <c r="T310" t="s">
        <v>552</v>
      </c>
      <c r="U310" t="s">
        <v>525</v>
      </c>
      <c r="V310" t="s">
        <v>504</v>
      </c>
      <c r="W310" t="s">
        <v>494</v>
      </c>
      <c r="X310" t="s">
        <v>494</v>
      </c>
      <c r="Y310" t="s">
        <v>536</v>
      </c>
      <c r="Z310">
        <v>2</v>
      </c>
      <c r="AA310">
        <v>2</v>
      </c>
      <c r="AE310" t="s">
        <v>538</v>
      </c>
      <c r="AF310" t="s">
        <v>496</v>
      </c>
      <c r="AG310" t="b">
        <v>0</v>
      </c>
      <c r="AH310" t="b">
        <v>0</v>
      </c>
      <c r="AI310" t="b">
        <v>0</v>
      </c>
      <c r="AK310" t="s">
        <v>497</v>
      </c>
      <c r="AL310" t="b">
        <v>0</v>
      </c>
      <c r="AM310" t="b">
        <v>0</v>
      </c>
    </row>
    <row r="311" spans="1:39">
      <c r="A311" t="s">
        <v>1004</v>
      </c>
      <c r="B311" t="b">
        <v>1</v>
      </c>
      <c r="C311">
        <v>102626</v>
      </c>
      <c r="D311" t="s">
        <v>318</v>
      </c>
      <c r="E311" t="s">
        <v>319</v>
      </c>
      <c r="F311" t="s">
        <v>488</v>
      </c>
      <c r="G311" t="s">
        <v>489</v>
      </c>
      <c r="H311" t="s">
        <v>46</v>
      </c>
      <c r="I311">
        <v>1</v>
      </c>
      <c r="J311" s="4">
        <v>45471</v>
      </c>
      <c r="K311" s="4">
        <v>45471</v>
      </c>
      <c r="L311" s="5">
        <v>0.34097222222222223</v>
      </c>
      <c r="M311" s="5">
        <v>0.34166666666666667</v>
      </c>
      <c r="N311">
        <v>55.530740000000002</v>
      </c>
      <c r="O311">
        <v>13.879630000000001</v>
      </c>
      <c r="P311">
        <v>429282</v>
      </c>
      <c r="Q311">
        <v>6154424</v>
      </c>
      <c r="R311" t="s">
        <v>490</v>
      </c>
      <c r="S311">
        <v>310</v>
      </c>
      <c r="T311" t="s">
        <v>499</v>
      </c>
      <c r="U311" t="s">
        <v>492</v>
      </c>
      <c r="V311" t="s">
        <v>493</v>
      </c>
      <c r="W311" t="s">
        <v>494</v>
      </c>
      <c r="X311" t="s">
        <v>494</v>
      </c>
      <c r="Y311" t="s">
        <v>619</v>
      </c>
      <c r="Z311">
        <v>2</v>
      </c>
      <c r="AA311">
        <v>2</v>
      </c>
      <c r="AD311" t="s">
        <v>527</v>
      </c>
      <c r="AE311" t="s">
        <v>51</v>
      </c>
      <c r="AF311" t="s">
        <v>496</v>
      </c>
      <c r="AG311" t="b">
        <v>0</v>
      </c>
      <c r="AH311" t="b">
        <v>0</v>
      </c>
      <c r="AI311" t="b">
        <v>0</v>
      </c>
      <c r="AK311" t="s">
        <v>497</v>
      </c>
      <c r="AL311" t="b">
        <v>0</v>
      </c>
      <c r="AM311" t="b">
        <v>0</v>
      </c>
    </row>
    <row r="312" spans="1:39">
      <c r="A312" t="s">
        <v>1005</v>
      </c>
      <c r="B312" t="b">
        <v>1</v>
      </c>
      <c r="C312">
        <v>103055</v>
      </c>
      <c r="D312" t="s">
        <v>413</v>
      </c>
      <c r="E312" t="s">
        <v>414</v>
      </c>
      <c r="F312" t="s">
        <v>488</v>
      </c>
      <c r="G312" t="s">
        <v>489</v>
      </c>
      <c r="H312" t="s">
        <v>41</v>
      </c>
      <c r="I312">
        <v>1</v>
      </c>
      <c r="J312" s="4">
        <v>45436</v>
      </c>
      <c r="K312" s="4">
        <v>45436</v>
      </c>
      <c r="L312" s="5">
        <v>0.47569444444444442</v>
      </c>
      <c r="M312" s="5">
        <v>0.59375</v>
      </c>
      <c r="N312">
        <v>55.516190000000002</v>
      </c>
      <c r="O312">
        <v>13.929740000000001</v>
      </c>
      <c r="P312">
        <v>432420</v>
      </c>
      <c r="Q312">
        <v>6152756</v>
      </c>
      <c r="R312" t="s">
        <v>490</v>
      </c>
      <c r="S312">
        <v>200</v>
      </c>
      <c r="T312" t="s">
        <v>1006</v>
      </c>
      <c r="U312" t="s">
        <v>525</v>
      </c>
      <c r="V312" t="s">
        <v>504</v>
      </c>
      <c r="W312" t="s">
        <v>494</v>
      </c>
      <c r="X312" t="s">
        <v>494</v>
      </c>
      <c r="Y312" t="s">
        <v>617</v>
      </c>
      <c r="Z312">
        <v>2</v>
      </c>
      <c r="AA312">
        <v>2</v>
      </c>
      <c r="AE312" t="s">
        <v>42</v>
      </c>
      <c r="AF312" t="s">
        <v>496</v>
      </c>
      <c r="AG312" t="b">
        <v>0</v>
      </c>
      <c r="AH312" t="b">
        <v>0</v>
      </c>
      <c r="AI312" t="b">
        <v>0</v>
      </c>
      <c r="AK312" t="s">
        <v>497</v>
      </c>
      <c r="AL312" t="b">
        <v>0</v>
      </c>
      <c r="AM312" t="b">
        <v>0</v>
      </c>
    </row>
    <row r="313" spans="1:39">
      <c r="A313" t="s">
        <v>1007</v>
      </c>
      <c r="B313" t="b">
        <v>1</v>
      </c>
      <c r="C313">
        <v>102950</v>
      </c>
      <c r="D313" t="s">
        <v>150</v>
      </c>
      <c r="E313" t="s">
        <v>151</v>
      </c>
      <c r="F313" t="s">
        <v>488</v>
      </c>
      <c r="G313" t="s">
        <v>489</v>
      </c>
      <c r="H313" t="s">
        <v>41</v>
      </c>
      <c r="I313">
        <v>1</v>
      </c>
      <c r="J313" s="4">
        <v>45840</v>
      </c>
      <c r="K313" s="4">
        <v>45840</v>
      </c>
      <c r="L313" s="5">
        <v>0.82638888888888884</v>
      </c>
      <c r="M313" s="5">
        <v>0.82638888888888884</v>
      </c>
      <c r="N313">
        <v>55.551600000000001</v>
      </c>
      <c r="O313">
        <v>13.955550000000001</v>
      </c>
      <c r="P313">
        <v>434109</v>
      </c>
      <c r="Q313">
        <v>6156670</v>
      </c>
      <c r="R313" t="s">
        <v>490</v>
      </c>
      <c r="S313">
        <v>250</v>
      </c>
      <c r="T313" t="s">
        <v>765</v>
      </c>
      <c r="U313" t="s">
        <v>508</v>
      </c>
      <c r="V313" t="s">
        <v>504</v>
      </c>
      <c r="W313" t="s">
        <v>494</v>
      </c>
      <c r="X313" t="s">
        <v>494</v>
      </c>
      <c r="Y313" t="s">
        <v>536</v>
      </c>
      <c r="Z313">
        <v>1</v>
      </c>
      <c r="AA313">
        <v>1</v>
      </c>
      <c r="AC313" t="s">
        <v>519</v>
      </c>
      <c r="AE313" t="s">
        <v>1008</v>
      </c>
      <c r="AF313" t="s">
        <v>496</v>
      </c>
      <c r="AG313" t="b">
        <v>0</v>
      </c>
      <c r="AH313" t="b">
        <v>0</v>
      </c>
      <c r="AI313" t="b">
        <v>0</v>
      </c>
      <c r="AK313" t="s">
        <v>497</v>
      </c>
      <c r="AL313" t="b">
        <v>0</v>
      </c>
      <c r="AM313" t="b">
        <v>0</v>
      </c>
    </row>
    <row r="314" spans="1:39">
      <c r="A314" t="s">
        <v>1009</v>
      </c>
      <c r="B314" t="b">
        <v>1</v>
      </c>
      <c r="C314">
        <v>102958</v>
      </c>
      <c r="D314" t="s">
        <v>178</v>
      </c>
      <c r="E314" t="s">
        <v>179</v>
      </c>
      <c r="F314" t="s">
        <v>488</v>
      </c>
      <c r="G314" t="s">
        <v>489</v>
      </c>
      <c r="H314" t="s">
        <v>46</v>
      </c>
      <c r="I314">
        <v>1</v>
      </c>
      <c r="J314" s="4">
        <v>45815</v>
      </c>
      <c r="K314" s="4">
        <v>45815</v>
      </c>
      <c r="L314" s="5">
        <v>0.59027777777777779</v>
      </c>
      <c r="M314" s="5">
        <v>0.59027777777777779</v>
      </c>
      <c r="N314">
        <v>55.515189999999997</v>
      </c>
      <c r="O314">
        <v>13.899330000000001</v>
      </c>
      <c r="P314">
        <v>430498</v>
      </c>
      <c r="Q314">
        <v>6152673</v>
      </c>
      <c r="R314" t="s">
        <v>490</v>
      </c>
      <c r="S314">
        <v>125</v>
      </c>
      <c r="T314" t="s">
        <v>552</v>
      </c>
      <c r="U314" t="s">
        <v>525</v>
      </c>
      <c r="V314" t="s">
        <v>504</v>
      </c>
      <c r="W314" t="s">
        <v>494</v>
      </c>
      <c r="X314" t="s">
        <v>494</v>
      </c>
      <c r="Y314" t="s">
        <v>536</v>
      </c>
      <c r="Z314">
        <v>2</v>
      </c>
      <c r="AA314">
        <v>2</v>
      </c>
      <c r="AD314" t="s">
        <v>527</v>
      </c>
      <c r="AE314" t="s">
        <v>51</v>
      </c>
      <c r="AF314" t="s">
        <v>496</v>
      </c>
      <c r="AG314" t="b">
        <v>0</v>
      </c>
      <c r="AH314" t="b">
        <v>0</v>
      </c>
      <c r="AI314" t="b">
        <v>0</v>
      </c>
      <c r="AK314" t="s">
        <v>497</v>
      </c>
      <c r="AL314" t="b">
        <v>0</v>
      </c>
      <c r="AM314" t="b">
        <v>0</v>
      </c>
    </row>
    <row r="315" spans="1:39">
      <c r="A315" t="s">
        <v>1010</v>
      </c>
      <c r="B315" t="b">
        <v>1</v>
      </c>
      <c r="C315">
        <v>102954</v>
      </c>
      <c r="D315" t="s">
        <v>170</v>
      </c>
      <c r="E315" t="s">
        <v>171</v>
      </c>
      <c r="F315" t="s">
        <v>488</v>
      </c>
      <c r="G315" t="s">
        <v>489</v>
      </c>
      <c r="H315" t="s">
        <v>41</v>
      </c>
      <c r="I315">
        <v>1</v>
      </c>
      <c r="J315" s="4">
        <v>45791</v>
      </c>
      <c r="K315" s="4">
        <v>45791</v>
      </c>
      <c r="L315" s="5">
        <v>0.45833333333333331</v>
      </c>
      <c r="M315" s="5">
        <v>0.45833333333333331</v>
      </c>
      <c r="N315">
        <v>55.555309999999999</v>
      </c>
      <c r="O315">
        <v>13.8569</v>
      </c>
      <c r="P315">
        <v>427893</v>
      </c>
      <c r="Q315">
        <v>6157182</v>
      </c>
      <c r="R315" t="s">
        <v>490</v>
      </c>
      <c r="S315">
        <v>140</v>
      </c>
      <c r="T315" t="s">
        <v>491</v>
      </c>
      <c r="U315" t="s">
        <v>492</v>
      </c>
      <c r="V315" t="s">
        <v>493</v>
      </c>
      <c r="W315" t="s">
        <v>494</v>
      </c>
      <c r="X315" t="s">
        <v>494</v>
      </c>
      <c r="Y315" t="s">
        <v>1011</v>
      </c>
      <c r="Z315">
        <v>1</v>
      </c>
      <c r="AA315">
        <v>1</v>
      </c>
      <c r="AE315" t="s">
        <v>538</v>
      </c>
      <c r="AF315" t="s">
        <v>496</v>
      </c>
      <c r="AG315" t="b">
        <v>0</v>
      </c>
      <c r="AH315" t="b">
        <v>0</v>
      </c>
      <c r="AI315" t="b">
        <v>0</v>
      </c>
      <c r="AK315" t="s">
        <v>497</v>
      </c>
      <c r="AL315" t="b">
        <v>0</v>
      </c>
      <c r="AM315" t="b">
        <v>0</v>
      </c>
    </row>
    <row r="316" spans="1:39">
      <c r="A316" t="s">
        <v>1012</v>
      </c>
      <c r="B316" t="b">
        <v>1</v>
      </c>
      <c r="C316">
        <v>100028</v>
      </c>
      <c r="D316" t="s">
        <v>60</v>
      </c>
      <c r="E316" t="s">
        <v>61</v>
      </c>
      <c r="F316" t="s">
        <v>488</v>
      </c>
      <c r="G316" t="s">
        <v>489</v>
      </c>
      <c r="H316" t="s">
        <v>46</v>
      </c>
      <c r="I316">
        <v>1</v>
      </c>
      <c r="J316" s="4">
        <v>45815</v>
      </c>
      <c r="K316" s="4">
        <v>45815</v>
      </c>
      <c r="L316" s="5">
        <v>0.58333333333333337</v>
      </c>
      <c r="M316" s="5">
        <v>0.58333333333333337</v>
      </c>
      <c r="N316">
        <v>55.515189999999997</v>
      </c>
      <c r="O316">
        <v>13.899330000000001</v>
      </c>
      <c r="P316">
        <v>430498</v>
      </c>
      <c r="Q316">
        <v>6152673</v>
      </c>
      <c r="R316" t="s">
        <v>490</v>
      </c>
      <c r="S316">
        <v>125</v>
      </c>
      <c r="T316" t="s">
        <v>552</v>
      </c>
      <c r="U316" t="s">
        <v>525</v>
      </c>
      <c r="V316" t="s">
        <v>504</v>
      </c>
      <c r="W316" t="s">
        <v>494</v>
      </c>
      <c r="X316" t="s">
        <v>494</v>
      </c>
      <c r="Y316" t="s">
        <v>536</v>
      </c>
      <c r="Z316">
        <v>2</v>
      </c>
      <c r="AA316">
        <v>2</v>
      </c>
      <c r="AE316" t="s">
        <v>51</v>
      </c>
      <c r="AF316" t="s">
        <v>496</v>
      </c>
      <c r="AG316" t="b">
        <v>0</v>
      </c>
      <c r="AH316" t="b">
        <v>0</v>
      </c>
      <c r="AI316" t="b">
        <v>0</v>
      </c>
      <c r="AK316" t="s">
        <v>497</v>
      </c>
      <c r="AL316" t="b">
        <v>0</v>
      </c>
      <c r="AM316" t="b">
        <v>0</v>
      </c>
    </row>
    <row r="317" spans="1:39">
      <c r="A317" t="s">
        <v>1013</v>
      </c>
      <c r="B317" t="b">
        <v>1</v>
      </c>
      <c r="C317">
        <v>100049</v>
      </c>
      <c r="D317" t="s">
        <v>295</v>
      </c>
      <c r="E317" t="s">
        <v>296</v>
      </c>
      <c r="F317" t="s">
        <v>488</v>
      </c>
      <c r="G317" t="s">
        <v>489</v>
      </c>
      <c r="H317" t="s">
        <v>46</v>
      </c>
      <c r="I317">
        <v>1</v>
      </c>
      <c r="J317" s="4">
        <v>45364</v>
      </c>
      <c r="K317" s="4">
        <v>45364</v>
      </c>
      <c r="L317" s="5">
        <v>0.51944444444444449</v>
      </c>
      <c r="M317" s="5">
        <v>0.54861111111111116</v>
      </c>
      <c r="N317">
        <v>55.530740000000002</v>
      </c>
      <c r="O317">
        <v>13.879630000000001</v>
      </c>
      <c r="P317">
        <v>429282</v>
      </c>
      <c r="Q317">
        <v>6154424</v>
      </c>
      <c r="R317" t="s">
        <v>490</v>
      </c>
      <c r="S317">
        <v>310</v>
      </c>
      <c r="T317" t="s">
        <v>499</v>
      </c>
      <c r="U317" t="s">
        <v>492</v>
      </c>
      <c r="V317" t="s">
        <v>493</v>
      </c>
      <c r="W317" t="s">
        <v>494</v>
      </c>
      <c r="X317" t="s">
        <v>494</v>
      </c>
      <c r="Y317" t="s">
        <v>624</v>
      </c>
      <c r="Z317">
        <v>1</v>
      </c>
      <c r="AA317">
        <v>1</v>
      </c>
      <c r="AE317" t="s">
        <v>42</v>
      </c>
      <c r="AF317" t="s">
        <v>496</v>
      </c>
      <c r="AG317" t="b">
        <v>0</v>
      </c>
      <c r="AH317" t="b">
        <v>0</v>
      </c>
      <c r="AI317" t="b">
        <v>0</v>
      </c>
      <c r="AK317" t="s">
        <v>497</v>
      </c>
      <c r="AL317" t="b">
        <v>0</v>
      </c>
      <c r="AM317" t="b">
        <v>0</v>
      </c>
    </row>
    <row r="318" spans="1:39">
      <c r="A318" t="s">
        <v>1014</v>
      </c>
      <c r="B318" t="b">
        <v>1</v>
      </c>
      <c r="C318">
        <v>102977</v>
      </c>
      <c r="D318" t="s">
        <v>47</v>
      </c>
      <c r="E318" t="s">
        <v>48</v>
      </c>
      <c r="F318" t="s">
        <v>488</v>
      </c>
      <c r="G318" t="s">
        <v>489</v>
      </c>
      <c r="H318" t="s">
        <v>46</v>
      </c>
      <c r="I318">
        <v>1</v>
      </c>
      <c r="J318" s="4">
        <v>45781</v>
      </c>
      <c r="K318" s="4">
        <v>45781</v>
      </c>
      <c r="L318" s="5">
        <v>0.40555555555555556</v>
      </c>
      <c r="M318" s="5">
        <v>0.4201388888888889</v>
      </c>
      <c r="N318">
        <v>55.547759999999997</v>
      </c>
      <c r="O318">
        <v>13.86754</v>
      </c>
      <c r="P318">
        <v>428550</v>
      </c>
      <c r="Q318">
        <v>6156331</v>
      </c>
      <c r="R318" t="s">
        <v>490</v>
      </c>
      <c r="S318">
        <v>627</v>
      </c>
      <c r="T318" t="s">
        <v>541</v>
      </c>
      <c r="U318" t="s">
        <v>525</v>
      </c>
      <c r="V318" t="s">
        <v>504</v>
      </c>
      <c r="W318" t="s">
        <v>494</v>
      </c>
      <c r="X318" t="s">
        <v>494</v>
      </c>
      <c r="Y318" t="s">
        <v>1015</v>
      </c>
      <c r="Z318">
        <v>1</v>
      </c>
      <c r="AA318">
        <v>1</v>
      </c>
      <c r="AE318" t="s">
        <v>42</v>
      </c>
      <c r="AF318" t="s">
        <v>496</v>
      </c>
      <c r="AG318" t="b">
        <v>0</v>
      </c>
      <c r="AH318" t="b">
        <v>0</v>
      </c>
      <c r="AI318" t="b">
        <v>0</v>
      </c>
      <c r="AK318" t="s">
        <v>497</v>
      </c>
      <c r="AL318" t="b">
        <v>0</v>
      </c>
      <c r="AM318" t="b">
        <v>0</v>
      </c>
    </row>
    <row r="319" spans="1:39">
      <c r="A319" t="s">
        <v>1016</v>
      </c>
      <c r="B319" t="b">
        <v>1</v>
      </c>
      <c r="C319">
        <v>102990</v>
      </c>
      <c r="D319" t="s">
        <v>39</v>
      </c>
      <c r="E319" t="s">
        <v>40</v>
      </c>
      <c r="F319" t="s">
        <v>488</v>
      </c>
      <c r="G319" t="s">
        <v>489</v>
      </c>
      <c r="H319" t="s">
        <v>41</v>
      </c>
      <c r="I319">
        <v>1</v>
      </c>
      <c r="J319" s="4">
        <v>41078</v>
      </c>
      <c r="K319" s="4">
        <v>41078</v>
      </c>
      <c r="L319" s="5">
        <v>0.39583333333333331</v>
      </c>
      <c r="M319" s="5">
        <v>0.63541666666666663</v>
      </c>
      <c r="N319">
        <v>55.527650000000001</v>
      </c>
      <c r="O319">
        <v>13.900119999999999</v>
      </c>
      <c r="P319">
        <v>430570</v>
      </c>
      <c r="Q319">
        <v>6154060</v>
      </c>
      <c r="R319" t="s">
        <v>490</v>
      </c>
      <c r="S319">
        <v>250</v>
      </c>
      <c r="T319" t="s">
        <v>578</v>
      </c>
      <c r="U319" t="s">
        <v>525</v>
      </c>
      <c r="V319" t="s">
        <v>504</v>
      </c>
      <c r="W319" t="s">
        <v>494</v>
      </c>
      <c r="X319" t="s">
        <v>494</v>
      </c>
      <c r="Y319" t="s">
        <v>793</v>
      </c>
      <c r="Z319">
        <v>1</v>
      </c>
      <c r="AA319">
        <v>1</v>
      </c>
      <c r="AE319" t="s">
        <v>42</v>
      </c>
      <c r="AF319" t="s">
        <v>496</v>
      </c>
      <c r="AG319" t="b">
        <v>0</v>
      </c>
      <c r="AH319" t="b">
        <v>0</v>
      </c>
      <c r="AI319" t="b">
        <v>0</v>
      </c>
      <c r="AK319" t="s">
        <v>497</v>
      </c>
      <c r="AL319" t="b">
        <v>0</v>
      </c>
      <c r="AM319" t="b">
        <v>0</v>
      </c>
    </row>
    <row r="320" spans="1:39">
      <c r="A320" t="s">
        <v>1017</v>
      </c>
      <c r="B320" t="b">
        <v>1</v>
      </c>
      <c r="C320">
        <v>103020</v>
      </c>
      <c r="D320" t="s">
        <v>328</v>
      </c>
      <c r="E320" t="s">
        <v>329</v>
      </c>
      <c r="F320" t="s">
        <v>488</v>
      </c>
      <c r="G320" t="s">
        <v>489</v>
      </c>
      <c r="H320" t="s">
        <v>41</v>
      </c>
      <c r="I320">
        <v>1</v>
      </c>
      <c r="J320" s="4">
        <v>41328</v>
      </c>
      <c r="K320" s="4">
        <v>41328</v>
      </c>
      <c r="L320" s="5">
        <v>0.32291666666666669</v>
      </c>
      <c r="M320" s="5">
        <v>0.34375</v>
      </c>
      <c r="N320">
        <v>55.525750000000002</v>
      </c>
      <c r="O320">
        <v>13.88649</v>
      </c>
      <c r="P320">
        <v>429706</v>
      </c>
      <c r="Q320">
        <v>6153862</v>
      </c>
      <c r="R320" t="s">
        <v>490</v>
      </c>
      <c r="S320">
        <v>311</v>
      </c>
      <c r="T320" t="s">
        <v>515</v>
      </c>
      <c r="U320" t="s">
        <v>516</v>
      </c>
      <c r="V320" t="s">
        <v>493</v>
      </c>
      <c r="W320" t="s">
        <v>494</v>
      </c>
      <c r="X320" t="s">
        <v>494</v>
      </c>
      <c r="Y320" t="s">
        <v>1018</v>
      </c>
      <c r="Z320">
        <v>2</v>
      </c>
      <c r="AA320">
        <v>2</v>
      </c>
      <c r="AE320" t="s">
        <v>42</v>
      </c>
      <c r="AF320" t="s">
        <v>496</v>
      </c>
      <c r="AG320" t="b">
        <v>0</v>
      </c>
      <c r="AH320" t="b">
        <v>0</v>
      </c>
      <c r="AI320" t="b">
        <v>0</v>
      </c>
      <c r="AK320" t="s">
        <v>497</v>
      </c>
      <c r="AL320" t="b">
        <v>0</v>
      </c>
      <c r="AM320" t="b">
        <v>0</v>
      </c>
    </row>
    <row r="321" spans="1:39">
      <c r="A321" t="s">
        <v>1019</v>
      </c>
      <c r="B321" t="b">
        <v>1</v>
      </c>
      <c r="C321">
        <v>102972</v>
      </c>
      <c r="D321" t="s">
        <v>55</v>
      </c>
      <c r="E321" t="s">
        <v>56</v>
      </c>
      <c r="F321" t="s">
        <v>488</v>
      </c>
      <c r="G321" t="s">
        <v>489</v>
      </c>
      <c r="H321" t="s">
        <v>41</v>
      </c>
      <c r="I321">
        <v>1</v>
      </c>
      <c r="J321" s="4">
        <v>41032</v>
      </c>
      <c r="K321" s="4">
        <v>41032</v>
      </c>
      <c r="L321" s="5">
        <v>0.21875</v>
      </c>
      <c r="M321" s="5">
        <v>0.21875</v>
      </c>
      <c r="N321">
        <v>55.54081</v>
      </c>
      <c r="O321">
        <v>13.95609</v>
      </c>
      <c r="P321">
        <v>434125</v>
      </c>
      <c r="Q321">
        <v>6155470</v>
      </c>
      <c r="R321" t="s">
        <v>490</v>
      </c>
      <c r="S321">
        <v>1500</v>
      </c>
      <c r="T321" t="s">
        <v>507</v>
      </c>
      <c r="U321" t="s">
        <v>508</v>
      </c>
      <c r="V321" t="s">
        <v>504</v>
      </c>
      <c r="W321" t="s">
        <v>494</v>
      </c>
      <c r="X321" t="s">
        <v>494</v>
      </c>
      <c r="Y321" t="s">
        <v>1020</v>
      </c>
      <c r="Z321">
        <v>2</v>
      </c>
      <c r="AA321">
        <v>2</v>
      </c>
      <c r="AD321" t="s">
        <v>527</v>
      </c>
      <c r="AE321" t="s">
        <v>51</v>
      </c>
      <c r="AF321" t="s">
        <v>496</v>
      </c>
      <c r="AG321" t="b">
        <v>0</v>
      </c>
      <c r="AH321" t="b">
        <v>0</v>
      </c>
      <c r="AI321" t="b">
        <v>0</v>
      </c>
      <c r="AK321" t="s">
        <v>497</v>
      </c>
      <c r="AL321" t="b">
        <v>0</v>
      </c>
      <c r="AM321" t="b">
        <v>0</v>
      </c>
    </row>
    <row r="322" spans="1:39">
      <c r="A322" t="s">
        <v>1021</v>
      </c>
      <c r="B322" t="b">
        <v>1</v>
      </c>
      <c r="C322">
        <v>102626</v>
      </c>
      <c r="D322" t="s">
        <v>318</v>
      </c>
      <c r="E322" t="s">
        <v>319</v>
      </c>
      <c r="F322" t="s">
        <v>488</v>
      </c>
      <c r="G322" t="s">
        <v>489</v>
      </c>
      <c r="H322" t="s">
        <v>46</v>
      </c>
      <c r="I322">
        <v>1</v>
      </c>
      <c r="J322" s="4">
        <v>38542</v>
      </c>
      <c r="K322" s="4">
        <v>38542</v>
      </c>
      <c r="L322" s="5">
        <v>0.66666666666666663</v>
      </c>
      <c r="M322" s="5">
        <v>0.66666666666666663</v>
      </c>
      <c r="N322">
        <v>55.555309999999999</v>
      </c>
      <c r="O322">
        <v>13.8569</v>
      </c>
      <c r="P322">
        <v>427893</v>
      </c>
      <c r="Q322">
        <v>6157182</v>
      </c>
      <c r="R322" t="s">
        <v>490</v>
      </c>
      <c r="S322">
        <v>140</v>
      </c>
      <c r="T322" t="s">
        <v>491</v>
      </c>
      <c r="U322" t="s">
        <v>492</v>
      </c>
      <c r="V322" t="s">
        <v>493</v>
      </c>
      <c r="W322" t="s">
        <v>494</v>
      </c>
      <c r="X322" t="s">
        <v>494</v>
      </c>
      <c r="Y322" t="s">
        <v>914</v>
      </c>
      <c r="Z322">
        <v>5</v>
      </c>
      <c r="AA322">
        <v>5</v>
      </c>
      <c r="AE322" t="s">
        <v>43</v>
      </c>
      <c r="AF322" t="s">
        <v>496</v>
      </c>
      <c r="AG322" t="b">
        <v>0</v>
      </c>
      <c r="AH322" t="b">
        <v>0</v>
      </c>
      <c r="AI322" t="b">
        <v>0</v>
      </c>
      <c r="AK322" t="s">
        <v>497</v>
      </c>
      <c r="AL322" t="b">
        <v>0</v>
      </c>
      <c r="AM322" t="b">
        <v>0</v>
      </c>
    </row>
    <row r="323" spans="1:39">
      <c r="A323" t="s">
        <v>1022</v>
      </c>
      <c r="B323" t="b">
        <v>1</v>
      </c>
      <c r="C323">
        <v>102972</v>
      </c>
      <c r="D323" t="s">
        <v>55</v>
      </c>
      <c r="E323" t="s">
        <v>56</v>
      </c>
      <c r="F323" t="s">
        <v>488</v>
      </c>
      <c r="G323" t="s">
        <v>489</v>
      </c>
      <c r="H323" t="s">
        <v>41</v>
      </c>
      <c r="I323">
        <v>1</v>
      </c>
      <c r="J323" s="4">
        <v>39991</v>
      </c>
      <c r="K323" s="4">
        <v>39991</v>
      </c>
      <c r="L323" s="5">
        <v>0.30208333333333331</v>
      </c>
      <c r="M323" s="5">
        <v>0.3125</v>
      </c>
      <c r="N323">
        <v>55.54081</v>
      </c>
      <c r="O323">
        <v>13.95609</v>
      </c>
      <c r="P323">
        <v>434125</v>
      </c>
      <c r="Q323">
        <v>6155470</v>
      </c>
      <c r="R323" t="s">
        <v>490</v>
      </c>
      <c r="S323">
        <v>1500</v>
      </c>
      <c r="T323" t="s">
        <v>507</v>
      </c>
      <c r="U323" t="s">
        <v>508</v>
      </c>
      <c r="V323" t="s">
        <v>504</v>
      </c>
      <c r="W323" t="s">
        <v>494</v>
      </c>
      <c r="X323" t="s">
        <v>494</v>
      </c>
      <c r="Y323" t="s">
        <v>509</v>
      </c>
      <c r="Z323">
        <v>1</v>
      </c>
      <c r="AA323">
        <v>1</v>
      </c>
      <c r="AD323" t="s">
        <v>510</v>
      </c>
      <c r="AE323" t="s">
        <v>42</v>
      </c>
      <c r="AF323" t="s">
        <v>496</v>
      </c>
      <c r="AG323" t="b">
        <v>0</v>
      </c>
      <c r="AH323" t="b">
        <v>0</v>
      </c>
      <c r="AI323" t="b">
        <v>0</v>
      </c>
      <c r="AK323" t="s">
        <v>497</v>
      </c>
      <c r="AL323" t="b">
        <v>0</v>
      </c>
      <c r="AM323" t="b">
        <v>0</v>
      </c>
    </row>
    <row r="324" spans="1:39">
      <c r="A324" t="s">
        <v>1023</v>
      </c>
      <c r="B324" t="b">
        <v>1</v>
      </c>
      <c r="C324">
        <v>100049</v>
      </c>
      <c r="D324" t="s">
        <v>295</v>
      </c>
      <c r="E324" t="s">
        <v>296</v>
      </c>
      <c r="F324" t="s">
        <v>488</v>
      </c>
      <c r="G324" t="s">
        <v>489</v>
      </c>
      <c r="H324" t="s">
        <v>46</v>
      </c>
      <c r="I324">
        <v>1</v>
      </c>
      <c r="J324" s="4">
        <v>39828</v>
      </c>
      <c r="K324" s="4">
        <v>39828</v>
      </c>
      <c r="L324" s="5">
        <v>0</v>
      </c>
      <c r="M324" s="5">
        <v>0</v>
      </c>
      <c r="N324">
        <v>55.530740000000002</v>
      </c>
      <c r="O324">
        <v>13.879630000000001</v>
      </c>
      <c r="P324">
        <v>429282</v>
      </c>
      <c r="Q324">
        <v>6154424</v>
      </c>
      <c r="R324" t="s">
        <v>490</v>
      </c>
      <c r="S324">
        <v>310</v>
      </c>
      <c r="T324" t="s">
        <v>499</v>
      </c>
      <c r="U324" t="s">
        <v>492</v>
      </c>
      <c r="V324" t="s">
        <v>493</v>
      </c>
      <c r="W324" t="s">
        <v>494</v>
      </c>
      <c r="X324" t="s">
        <v>494</v>
      </c>
      <c r="Y324" t="s">
        <v>1024</v>
      </c>
      <c r="Z324">
        <v>1</v>
      </c>
      <c r="AA324">
        <v>1</v>
      </c>
      <c r="AE324" t="s">
        <v>42</v>
      </c>
      <c r="AF324" t="s">
        <v>496</v>
      </c>
      <c r="AG324" t="b">
        <v>0</v>
      </c>
      <c r="AH324" t="b">
        <v>0</v>
      </c>
      <c r="AI324" t="b">
        <v>0</v>
      </c>
      <c r="AK324" t="s">
        <v>497</v>
      </c>
      <c r="AL324" t="b">
        <v>0</v>
      </c>
      <c r="AM324" t="b">
        <v>0</v>
      </c>
    </row>
    <row r="325" spans="1:39">
      <c r="A325" t="s">
        <v>1025</v>
      </c>
      <c r="B325" t="b">
        <v>1</v>
      </c>
      <c r="C325">
        <v>100049</v>
      </c>
      <c r="D325" t="s">
        <v>295</v>
      </c>
      <c r="E325" t="s">
        <v>296</v>
      </c>
      <c r="F325" t="s">
        <v>488</v>
      </c>
      <c r="G325" t="s">
        <v>489</v>
      </c>
      <c r="H325" t="s">
        <v>46</v>
      </c>
      <c r="I325">
        <v>1</v>
      </c>
      <c r="J325" s="4">
        <v>45669</v>
      </c>
      <c r="K325" s="4">
        <v>45669</v>
      </c>
      <c r="L325" s="5">
        <v>0.49305555555555558</v>
      </c>
      <c r="M325" s="5">
        <v>0.54166666666666663</v>
      </c>
      <c r="N325">
        <v>55.530740000000002</v>
      </c>
      <c r="O325">
        <v>13.879630000000001</v>
      </c>
      <c r="P325">
        <v>429282</v>
      </c>
      <c r="Q325">
        <v>6154424</v>
      </c>
      <c r="R325" t="s">
        <v>490</v>
      </c>
      <c r="S325">
        <v>310</v>
      </c>
      <c r="T325" t="s">
        <v>499</v>
      </c>
      <c r="U325" t="s">
        <v>492</v>
      </c>
      <c r="V325" t="s">
        <v>493</v>
      </c>
      <c r="W325" t="s">
        <v>494</v>
      </c>
      <c r="X325" t="s">
        <v>494</v>
      </c>
      <c r="Y325" t="s">
        <v>1026</v>
      </c>
      <c r="Z325">
        <v>1</v>
      </c>
      <c r="AA325">
        <v>1</v>
      </c>
      <c r="AE325" t="s">
        <v>42</v>
      </c>
      <c r="AF325" t="s">
        <v>496</v>
      </c>
      <c r="AG325" t="b">
        <v>0</v>
      </c>
      <c r="AH325" t="b">
        <v>0</v>
      </c>
      <c r="AI325" t="b">
        <v>0</v>
      </c>
      <c r="AK325" t="s">
        <v>497</v>
      </c>
      <c r="AL325" t="b">
        <v>0</v>
      </c>
      <c r="AM325" t="b">
        <v>0</v>
      </c>
    </row>
    <row r="326" spans="1:39">
      <c r="A326" t="s">
        <v>1027</v>
      </c>
      <c r="B326" t="b">
        <v>1</v>
      </c>
      <c r="C326">
        <v>102990</v>
      </c>
      <c r="D326" t="s">
        <v>39</v>
      </c>
      <c r="E326" t="s">
        <v>40</v>
      </c>
      <c r="F326" t="s">
        <v>488</v>
      </c>
      <c r="G326" t="s">
        <v>489</v>
      </c>
      <c r="H326" t="s">
        <v>41</v>
      </c>
      <c r="I326">
        <v>1</v>
      </c>
      <c r="J326" s="4">
        <v>45763</v>
      </c>
      <c r="K326" s="4">
        <v>45763</v>
      </c>
      <c r="L326" s="5">
        <v>0.375</v>
      </c>
      <c r="M326" s="5">
        <v>0.54166666666666663</v>
      </c>
      <c r="N326">
        <v>55.54081</v>
      </c>
      <c r="O326">
        <v>13.95609</v>
      </c>
      <c r="P326">
        <v>434125</v>
      </c>
      <c r="Q326">
        <v>6155470</v>
      </c>
      <c r="R326" t="s">
        <v>490</v>
      </c>
      <c r="S326">
        <v>1500</v>
      </c>
      <c r="T326" t="s">
        <v>507</v>
      </c>
      <c r="U326" t="s">
        <v>508</v>
      </c>
      <c r="V326" t="s">
        <v>504</v>
      </c>
      <c r="W326" t="s">
        <v>494</v>
      </c>
      <c r="X326" t="s">
        <v>494</v>
      </c>
      <c r="Y326" t="s">
        <v>526</v>
      </c>
      <c r="Z326">
        <v>1</v>
      </c>
      <c r="AA326">
        <v>1</v>
      </c>
      <c r="AE326" t="s">
        <v>42</v>
      </c>
      <c r="AF326" t="s">
        <v>496</v>
      </c>
      <c r="AG326" t="b">
        <v>0</v>
      </c>
      <c r="AH326" t="b">
        <v>0</v>
      </c>
      <c r="AI326" t="b">
        <v>0</v>
      </c>
      <c r="AK326" t="s">
        <v>497</v>
      </c>
      <c r="AL326" t="b">
        <v>0</v>
      </c>
      <c r="AM326" t="b">
        <v>0</v>
      </c>
    </row>
    <row r="327" spans="1:39">
      <c r="A327" t="s">
        <v>1028</v>
      </c>
      <c r="B327" t="b">
        <v>1</v>
      </c>
      <c r="C327">
        <v>102990</v>
      </c>
      <c r="D327" t="s">
        <v>39</v>
      </c>
      <c r="E327" t="s">
        <v>40</v>
      </c>
      <c r="F327" t="s">
        <v>488</v>
      </c>
      <c r="G327" t="s">
        <v>489</v>
      </c>
      <c r="H327" t="s">
        <v>41</v>
      </c>
      <c r="I327">
        <v>1</v>
      </c>
      <c r="J327" s="4">
        <v>45763</v>
      </c>
      <c r="K327" s="4">
        <v>45763</v>
      </c>
      <c r="L327" s="5">
        <v>0.375</v>
      </c>
      <c r="M327" s="5">
        <v>0.54166666666666663</v>
      </c>
      <c r="N327">
        <v>55.54081</v>
      </c>
      <c r="O327">
        <v>13.95609</v>
      </c>
      <c r="P327">
        <v>434125</v>
      </c>
      <c r="Q327">
        <v>6155470</v>
      </c>
      <c r="R327" t="s">
        <v>490</v>
      </c>
      <c r="S327">
        <v>1500</v>
      </c>
      <c r="T327" t="s">
        <v>507</v>
      </c>
      <c r="U327" t="s">
        <v>508</v>
      </c>
      <c r="V327" t="s">
        <v>504</v>
      </c>
      <c r="W327" t="s">
        <v>494</v>
      </c>
      <c r="X327" t="s">
        <v>494</v>
      </c>
      <c r="Y327" t="s">
        <v>526</v>
      </c>
      <c r="Z327">
        <v>1</v>
      </c>
      <c r="AA327">
        <v>1</v>
      </c>
      <c r="AE327" t="s">
        <v>42</v>
      </c>
      <c r="AF327" t="s">
        <v>496</v>
      </c>
      <c r="AG327" t="b">
        <v>0</v>
      </c>
      <c r="AH327" t="b">
        <v>0</v>
      </c>
      <c r="AI327" t="b">
        <v>0</v>
      </c>
      <c r="AK327" t="s">
        <v>497</v>
      </c>
      <c r="AL327" t="b">
        <v>0</v>
      </c>
      <c r="AM327" t="b">
        <v>0</v>
      </c>
    </row>
    <row r="328" spans="1:39">
      <c r="A328" t="s">
        <v>1029</v>
      </c>
      <c r="B328" t="b">
        <v>1</v>
      </c>
      <c r="C328">
        <v>103055</v>
      </c>
      <c r="D328" t="s">
        <v>413</v>
      </c>
      <c r="E328" t="s">
        <v>414</v>
      </c>
      <c r="F328" t="s">
        <v>488</v>
      </c>
      <c r="G328" t="s">
        <v>489</v>
      </c>
      <c r="H328" t="s">
        <v>41</v>
      </c>
      <c r="I328">
        <v>1</v>
      </c>
      <c r="J328" s="4">
        <v>45750</v>
      </c>
      <c r="K328" s="4">
        <v>45750</v>
      </c>
      <c r="L328" s="5">
        <v>0.57638888888888884</v>
      </c>
      <c r="M328" s="5">
        <v>0.61805555555555558</v>
      </c>
      <c r="N328">
        <v>55.547759999999997</v>
      </c>
      <c r="O328">
        <v>13.86754</v>
      </c>
      <c r="P328">
        <v>428550</v>
      </c>
      <c r="Q328">
        <v>6156331</v>
      </c>
      <c r="R328" t="s">
        <v>490</v>
      </c>
      <c r="S328">
        <v>627</v>
      </c>
      <c r="T328" t="s">
        <v>541</v>
      </c>
      <c r="U328" t="s">
        <v>525</v>
      </c>
      <c r="V328" t="s">
        <v>504</v>
      </c>
      <c r="W328" t="s">
        <v>494</v>
      </c>
      <c r="X328" t="s">
        <v>494</v>
      </c>
      <c r="Y328" t="s">
        <v>645</v>
      </c>
      <c r="Z328">
        <v>1</v>
      </c>
      <c r="AA328">
        <v>1</v>
      </c>
      <c r="AE328" t="s">
        <v>42</v>
      </c>
      <c r="AF328" t="s">
        <v>496</v>
      </c>
      <c r="AG328" t="b">
        <v>0</v>
      </c>
      <c r="AH328" t="b">
        <v>0</v>
      </c>
      <c r="AI328" t="b">
        <v>0</v>
      </c>
      <c r="AK328" t="s">
        <v>497</v>
      </c>
      <c r="AL328" t="b">
        <v>0</v>
      </c>
      <c r="AM328" t="b">
        <v>0</v>
      </c>
    </row>
    <row r="329" spans="1:39">
      <c r="A329" t="s">
        <v>1030</v>
      </c>
      <c r="B329" t="b">
        <v>1</v>
      </c>
      <c r="C329">
        <v>103055</v>
      </c>
      <c r="D329" t="s">
        <v>413</v>
      </c>
      <c r="E329" t="s">
        <v>414</v>
      </c>
      <c r="F329" t="s">
        <v>488</v>
      </c>
      <c r="G329" t="s">
        <v>489</v>
      </c>
      <c r="H329" t="s">
        <v>41</v>
      </c>
      <c r="I329">
        <v>1</v>
      </c>
      <c r="J329" s="4">
        <v>44756</v>
      </c>
      <c r="K329" s="4">
        <v>44756</v>
      </c>
      <c r="L329" s="5">
        <v>0.33819444444444446</v>
      </c>
      <c r="M329" s="5">
        <v>0.36666666666666664</v>
      </c>
      <c r="N329">
        <v>55.530740000000002</v>
      </c>
      <c r="O329">
        <v>13.879630000000001</v>
      </c>
      <c r="P329">
        <v>429282</v>
      </c>
      <c r="Q329">
        <v>6154424</v>
      </c>
      <c r="R329" t="s">
        <v>490</v>
      </c>
      <c r="S329">
        <v>310</v>
      </c>
      <c r="T329" t="s">
        <v>499</v>
      </c>
      <c r="U329" t="s">
        <v>492</v>
      </c>
      <c r="V329" t="s">
        <v>493</v>
      </c>
      <c r="W329" t="s">
        <v>494</v>
      </c>
      <c r="X329" t="s">
        <v>494</v>
      </c>
      <c r="Y329" t="s">
        <v>822</v>
      </c>
      <c r="Z329">
        <v>1</v>
      </c>
      <c r="AA329">
        <v>1</v>
      </c>
      <c r="AE329" t="s">
        <v>42</v>
      </c>
      <c r="AF329" t="s">
        <v>496</v>
      </c>
      <c r="AG329" t="b">
        <v>0</v>
      </c>
      <c r="AH329" t="b">
        <v>0</v>
      </c>
      <c r="AI329" t="b">
        <v>0</v>
      </c>
      <c r="AK329" t="s">
        <v>497</v>
      </c>
      <c r="AL329" t="b">
        <v>0</v>
      </c>
      <c r="AM329" t="b">
        <v>0</v>
      </c>
    </row>
    <row r="330" spans="1:39">
      <c r="A330" t="s">
        <v>1031</v>
      </c>
      <c r="B330" t="b">
        <v>1</v>
      </c>
      <c r="C330">
        <v>102105</v>
      </c>
      <c r="D330" t="s">
        <v>110</v>
      </c>
      <c r="E330" t="s">
        <v>111</v>
      </c>
      <c r="F330" t="s">
        <v>488</v>
      </c>
      <c r="G330" t="s">
        <v>489</v>
      </c>
      <c r="H330" t="s">
        <v>46</v>
      </c>
      <c r="I330">
        <v>1</v>
      </c>
      <c r="J330" s="4">
        <v>44693</v>
      </c>
      <c r="K330" s="4">
        <v>44693</v>
      </c>
      <c r="L330" s="5">
        <v>0.29166666666666669</v>
      </c>
      <c r="M330" s="5">
        <v>0.41666666666666669</v>
      </c>
      <c r="N330">
        <v>55.5351</v>
      </c>
      <c r="O330">
        <v>13.95862</v>
      </c>
      <c r="P330">
        <v>434276</v>
      </c>
      <c r="Q330">
        <v>6154832</v>
      </c>
      <c r="R330" t="s">
        <v>490</v>
      </c>
      <c r="S330">
        <v>400</v>
      </c>
      <c r="T330" t="s">
        <v>563</v>
      </c>
      <c r="U330" t="s">
        <v>508</v>
      </c>
      <c r="V330" t="s">
        <v>504</v>
      </c>
      <c r="W330" t="s">
        <v>494</v>
      </c>
      <c r="X330" t="s">
        <v>494</v>
      </c>
      <c r="Y330" t="s">
        <v>536</v>
      </c>
      <c r="Z330">
        <v>2</v>
      </c>
      <c r="AA330">
        <v>2</v>
      </c>
      <c r="AD330" t="s">
        <v>527</v>
      </c>
      <c r="AE330" t="s">
        <v>51</v>
      </c>
      <c r="AF330" t="s">
        <v>496</v>
      </c>
      <c r="AG330" t="b">
        <v>0</v>
      </c>
      <c r="AH330" t="b">
        <v>0</v>
      </c>
      <c r="AI330" t="b">
        <v>0</v>
      </c>
      <c r="AK330" t="s">
        <v>497</v>
      </c>
      <c r="AL330" t="b">
        <v>0</v>
      </c>
      <c r="AM330" t="b">
        <v>0</v>
      </c>
    </row>
    <row r="331" spans="1:39">
      <c r="A331" t="s">
        <v>1032</v>
      </c>
      <c r="B331" t="b">
        <v>1</v>
      </c>
      <c r="C331">
        <v>102626</v>
      </c>
      <c r="D331" t="s">
        <v>318</v>
      </c>
      <c r="E331" t="s">
        <v>319</v>
      </c>
      <c r="F331" t="s">
        <v>488</v>
      </c>
      <c r="G331" t="s">
        <v>489</v>
      </c>
      <c r="H331" t="s">
        <v>46</v>
      </c>
      <c r="I331">
        <v>1</v>
      </c>
      <c r="J331" s="4">
        <v>42160</v>
      </c>
      <c r="K331" s="4">
        <v>42160</v>
      </c>
      <c r="L331" s="5">
        <v>0.79166666666666663</v>
      </c>
      <c r="M331" s="5">
        <v>0.80555555555555558</v>
      </c>
      <c r="N331">
        <v>55.555309999999999</v>
      </c>
      <c r="O331">
        <v>13.8569</v>
      </c>
      <c r="P331">
        <v>427893</v>
      </c>
      <c r="Q331">
        <v>6157182</v>
      </c>
      <c r="R331" t="s">
        <v>490</v>
      </c>
      <c r="S331">
        <v>140</v>
      </c>
      <c r="T331" t="s">
        <v>491</v>
      </c>
      <c r="U331" t="s">
        <v>492</v>
      </c>
      <c r="V331" t="s">
        <v>493</v>
      </c>
      <c r="W331" t="s">
        <v>494</v>
      </c>
      <c r="X331" t="s">
        <v>494</v>
      </c>
      <c r="Y331" t="s">
        <v>1033</v>
      </c>
      <c r="Z331">
        <v>2</v>
      </c>
      <c r="AA331">
        <v>2</v>
      </c>
      <c r="AC331" t="s">
        <v>512</v>
      </c>
      <c r="AD331" t="s">
        <v>527</v>
      </c>
      <c r="AE331" t="s">
        <v>51</v>
      </c>
      <c r="AF331" t="s">
        <v>496</v>
      </c>
      <c r="AG331" t="b">
        <v>0</v>
      </c>
      <c r="AH331" t="b">
        <v>0</v>
      </c>
      <c r="AI331" t="b">
        <v>0</v>
      </c>
      <c r="AK331" t="s">
        <v>497</v>
      </c>
      <c r="AL331" t="b">
        <v>0</v>
      </c>
      <c r="AM331" t="b">
        <v>0</v>
      </c>
    </row>
    <row r="332" spans="1:39">
      <c r="A332" t="s">
        <v>1034</v>
      </c>
      <c r="B332" t="b">
        <v>1</v>
      </c>
      <c r="C332">
        <v>102977</v>
      </c>
      <c r="D332" t="s">
        <v>47</v>
      </c>
      <c r="E332" t="s">
        <v>48</v>
      </c>
      <c r="F332" t="s">
        <v>488</v>
      </c>
      <c r="G332" t="s">
        <v>489</v>
      </c>
      <c r="H332" t="s">
        <v>46</v>
      </c>
      <c r="I332">
        <v>1</v>
      </c>
      <c r="J332" s="4">
        <v>41699</v>
      </c>
      <c r="K332" s="4">
        <v>41699</v>
      </c>
      <c r="L332" s="5">
        <v>0.43055555555555558</v>
      </c>
      <c r="M332" s="5">
        <v>0.44097222222222221</v>
      </c>
      <c r="N332">
        <v>55.530740000000002</v>
      </c>
      <c r="O332">
        <v>13.879630000000001</v>
      </c>
      <c r="P332">
        <v>429282</v>
      </c>
      <c r="Q332">
        <v>6154424</v>
      </c>
      <c r="R332" t="s">
        <v>490</v>
      </c>
      <c r="S332">
        <v>310</v>
      </c>
      <c r="T332" t="s">
        <v>499</v>
      </c>
      <c r="U332" t="s">
        <v>492</v>
      </c>
      <c r="V332" t="s">
        <v>493</v>
      </c>
      <c r="W332" t="s">
        <v>494</v>
      </c>
      <c r="X332" t="s">
        <v>494</v>
      </c>
      <c r="Y332" t="s">
        <v>1035</v>
      </c>
      <c r="Z332">
        <v>1</v>
      </c>
      <c r="AA332">
        <v>1</v>
      </c>
      <c r="AE332" t="s">
        <v>42</v>
      </c>
      <c r="AF332" t="s">
        <v>496</v>
      </c>
      <c r="AG332" t="b">
        <v>0</v>
      </c>
      <c r="AH332" t="b">
        <v>0</v>
      </c>
      <c r="AI332" t="b">
        <v>0</v>
      </c>
      <c r="AK332" t="s">
        <v>497</v>
      </c>
      <c r="AL332" t="b">
        <v>0</v>
      </c>
      <c r="AM332" t="b">
        <v>0</v>
      </c>
    </row>
    <row r="333" spans="1:39">
      <c r="A333" t="s">
        <v>1036</v>
      </c>
      <c r="B333" t="b">
        <v>1</v>
      </c>
      <c r="C333">
        <v>103042</v>
      </c>
      <c r="D333" t="s">
        <v>398</v>
      </c>
      <c r="E333" t="s">
        <v>399</v>
      </c>
      <c r="F333" t="s">
        <v>488</v>
      </c>
      <c r="G333" t="s">
        <v>489</v>
      </c>
      <c r="H333" t="s">
        <v>85</v>
      </c>
      <c r="I333">
        <v>1</v>
      </c>
      <c r="J333" s="4">
        <v>43151</v>
      </c>
      <c r="K333" s="4">
        <v>43151</v>
      </c>
      <c r="L333" s="5">
        <v>0.4513888888888889</v>
      </c>
      <c r="M333" s="5">
        <v>0.46875</v>
      </c>
      <c r="N333">
        <v>55.539529999999999</v>
      </c>
      <c r="O333">
        <v>13.945959999999999</v>
      </c>
      <c r="P333">
        <v>433484</v>
      </c>
      <c r="Q333">
        <v>6155337</v>
      </c>
      <c r="R333" t="s">
        <v>490</v>
      </c>
      <c r="S333">
        <v>75</v>
      </c>
      <c r="T333" t="s">
        <v>1037</v>
      </c>
      <c r="U333" t="s">
        <v>508</v>
      </c>
      <c r="V333" t="s">
        <v>504</v>
      </c>
      <c r="W333" t="s">
        <v>494</v>
      </c>
      <c r="X333" t="s">
        <v>494</v>
      </c>
      <c r="Y333" t="s">
        <v>536</v>
      </c>
      <c r="Z333">
        <v>1</v>
      </c>
      <c r="AA333">
        <v>1</v>
      </c>
      <c r="AE333" t="s">
        <v>42</v>
      </c>
      <c r="AF333" t="s">
        <v>496</v>
      </c>
      <c r="AG333" t="b">
        <v>0</v>
      </c>
      <c r="AH333" t="b">
        <v>0</v>
      </c>
      <c r="AI333" t="b">
        <v>0</v>
      </c>
      <c r="AK333" t="s">
        <v>497</v>
      </c>
      <c r="AL333" t="b">
        <v>0</v>
      </c>
      <c r="AM333" t="b">
        <v>0</v>
      </c>
    </row>
    <row r="334" spans="1:39">
      <c r="A334" t="s">
        <v>1038</v>
      </c>
      <c r="B334" t="b">
        <v>1</v>
      </c>
      <c r="C334">
        <v>103020</v>
      </c>
      <c r="D334" t="s">
        <v>328</v>
      </c>
      <c r="E334" t="s">
        <v>329</v>
      </c>
      <c r="F334" t="s">
        <v>488</v>
      </c>
      <c r="G334" t="s">
        <v>489</v>
      </c>
      <c r="H334" t="s">
        <v>41</v>
      </c>
      <c r="I334">
        <v>1</v>
      </c>
      <c r="J334" s="4">
        <v>43973</v>
      </c>
      <c r="K334" s="4">
        <v>43973</v>
      </c>
      <c r="L334" s="5">
        <v>0.23958333333333334</v>
      </c>
      <c r="M334" s="5">
        <v>0.27083333333333331</v>
      </c>
      <c r="N334">
        <v>55.530740000000002</v>
      </c>
      <c r="O334">
        <v>13.879630000000001</v>
      </c>
      <c r="P334">
        <v>429282</v>
      </c>
      <c r="Q334">
        <v>6154424</v>
      </c>
      <c r="R334" t="s">
        <v>490</v>
      </c>
      <c r="S334">
        <v>310</v>
      </c>
      <c r="T334" t="s">
        <v>499</v>
      </c>
      <c r="U334" t="s">
        <v>492</v>
      </c>
      <c r="V334" t="s">
        <v>493</v>
      </c>
      <c r="W334" t="s">
        <v>494</v>
      </c>
      <c r="X334" t="s">
        <v>494</v>
      </c>
      <c r="Y334" t="s">
        <v>565</v>
      </c>
      <c r="Z334">
        <v>1</v>
      </c>
      <c r="AA334">
        <v>1</v>
      </c>
      <c r="AE334" t="s">
        <v>42</v>
      </c>
      <c r="AF334" t="s">
        <v>496</v>
      </c>
      <c r="AG334" t="b">
        <v>0</v>
      </c>
      <c r="AH334" t="b">
        <v>0</v>
      </c>
      <c r="AI334" t="b">
        <v>0</v>
      </c>
      <c r="AK334" t="s">
        <v>497</v>
      </c>
      <c r="AL334" t="b">
        <v>0</v>
      </c>
      <c r="AM334" t="b">
        <v>0</v>
      </c>
    </row>
    <row r="335" spans="1:39">
      <c r="A335" t="s">
        <v>1039</v>
      </c>
      <c r="B335" t="b">
        <v>1</v>
      </c>
      <c r="C335">
        <v>103055</v>
      </c>
      <c r="D335" t="s">
        <v>413</v>
      </c>
      <c r="E335" t="s">
        <v>414</v>
      </c>
      <c r="F335" t="s">
        <v>488</v>
      </c>
      <c r="G335" t="s">
        <v>489</v>
      </c>
      <c r="H335" t="s">
        <v>41</v>
      </c>
      <c r="I335">
        <v>1</v>
      </c>
      <c r="J335" s="4">
        <v>44014</v>
      </c>
      <c r="K335" s="4">
        <v>44014</v>
      </c>
      <c r="L335" s="5">
        <v>0.61458333333333337</v>
      </c>
      <c r="M335" s="5">
        <v>0.66666666666666663</v>
      </c>
      <c r="N335">
        <v>55.547759999999997</v>
      </c>
      <c r="O335">
        <v>13.86754</v>
      </c>
      <c r="P335">
        <v>428550</v>
      </c>
      <c r="Q335">
        <v>6156331</v>
      </c>
      <c r="R335" t="s">
        <v>490</v>
      </c>
      <c r="S335">
        <v>627</v>
      </c>
      <c r="T335" t="s">
        <v>541</v>
      </c>
      <c r="U335" t="s">
        <v>525</v>
      </c>
      <c r="V335" t="s">
        <v>504</v>
      </c>
      <c r="W335" t="s">
        <v>494</v>
      </c>
      <c r="X335" t="s">
        <v>494</v>
      </c>
      <c r="Y335" t="s">
        <v>617</v>
      </c>
      <c r="Z335">
        <v>1</v>
      </c>
      <c r="AA335">
        <v>1</v>
      </c>
      <c r="AE335" t="s">
        <v>42</v>
      </c>
      <c r="AF335" t="s">
        <v>496</v>
      </c>
      <c r="AG335" t="b">
        <v>0</v>
      </c>
      <c r="AH335" t="b">
        <v>0</v>
      </c>
      <c r="AI335" t="b">
        <v>0</v>
      </c>
      <c r="AK335" t="s">
        <v>497</v>
      </c>
      <c r="AL335" t="b">
        <v>0</v>
      </c>
      <c r="AM335" t="b">
        <v>0</v>
      </c>
    </row>
    <row r="336" spans="1:39">
      <c r="A336" t="s">
        <v>1040</v>
      </c>
      <c r="B336" t="b">
        <v>1</v>
      </c>
      <c r="C336">
        <v>102980</v>
      </c>
      <c r="D336" t="s">
        <v>354</v>
      </c>
      <c r="E336" t="s">
        <v>355</v>
      </c>
      <c r="F336" t="s">
        <v>488</v>
      </c>
      <c r="G336" t="s">
        <v>489</v>
      </c>
      <c r="H336" t="s">
        <v>41</v>
      </c>
      <c r="I336">
        <v>1</v>
      </c>
      <c r="J336" s="4">
        <v>44004</v>
      </c>
      <c r="K336" s="4">
        <v>44004</v>
      </c>
      <c r="L336" s="5">
        <v>0.5625</v>
      </c>
      <c r="M336" s="5">
        <v>0.5625</v>
      </c>
      <c r="N336">
        <v>55.547759999999997</v>
      </c>
      <c r="O336">
        <v>13.86754</v>
      </c>
      <c r="P336">
        <v>428550</v>
      </c>
      <c r="Q336">
        <v>6156331</v>
      </c>
      <c r="R336" t="s">
        <v>490</v>
      </c>
      <c r="S336">
        <v>627</v>
      </c>
      <c r="T336" t="s">
        <v>541</v>
      </c>
      <c r="U336" t="s">
        <v>525</v>
      </c>
      <c r="V336" t="s">
        <v>504</v>
      </c>
      <c r="W336" t="s">
        <v>494</v>
      </c>
      <c r="X336" t="s">
        <v>494</v>
      </c>
      <c r="Y336" t="s">
        <v>1041</v>
      </c>
      <c r="Z336">
        <v>2</v>
      </c>
      <c r="AA336">
        <v>2</v>
      </c>
      <c r="AC336" t="s">
        <v>512</v>
      </c>
      <c r="AD336" t="s">
        <v>527</v>
      </c>
      <c r="AE336" t="s">
        <v>429</v>
      </c>
      <c r="AF336" t="s">
        <v>496</v>
      </c>
      <c r="AG336" t="b">
        <v>0</v>
      </c>
      <c r="AH336" t="b">
        <v>0</v>
      </c>
      <c r="AI336" t="b">
        <v>0</v>
      </c>
      <c r="AK336" t="s">
        <v>497</v>
      </c>
      <c r="AL336" t="b">
        <v>0</v>
      </c>
      <c r="AM336" t="b">
        <v>0</v>
      </c>
    </row>
    <row r="337" spans="1:39">
      <c r="A337" t="s">
        <v>1042</v>
      </c>
      <c r="B337" t="b">
        <v>1</v>
      </c>
      <c r="C337">
        <v>102980</v>
      </c>
      <c r="D337" t="s">
        <v>354</v>
      </c>
      <c r="E337" t="s">
        <v>355</v>
      </c>
      <c r="F337" t="s">
        <v>488</v>
      </c>
      <c r="G337" t="s">
        <v>489</v>
      </c>
      <c r="H337" t="s">
        <v>41</v>
      </c>
      <c r="I337">
        <v>1</v>
      </c>
      <c r="J337" s="4">
        <v>44015</v>
      </c>
      <c r="K337" s="4">
        <v>44015</v>
      </c>
      <c r="L337" s="5">
        <v>0.29166666666666669</v>
      </c>
      <c r="M337" s="5">
        <v>0.29166666666666669</v>
      </c>
      <c r="N337">
        <v>55.54081</v>
      </c>
      <c r="O337">
        <v>13.95609</v>
      </c>
      <c r="P337">
        <v>434125</v>
      </c>
      <c r="Q337">
        <v>6155470</v>
      </c>
      <c r="R337" t="s">
        <v>490</v>
      </c>
      <c r="S337">
        <v>1500</v>
      </c>
      <c r="T337" t="s">
        <v>507</v>
      </c>
      <c r="U337" t="s">
        <v>508</v>
      </c>
      <c r="V337" t="s">
        <v>504</v>
      </c>
      <c r="W337" t="s">
        <v>494</v>
      </c>
      <c r="X337" t="s">
        <v>494</v>
      </c>
      <c r="Y337" t="s">
        <v>770</v>
      </c>
      <c r="Z337">
        <v>1</v>
      </c>
      <c r="AA337">
        <v>1</v>
      </c>
      <c r="AE337" t="s">
        <v>538</v>
      </c>
      <c r="AF337" t="s">
        <v>496</v>
      </c>
      <c r="AG337" t="b">
        <v>0</v>
      </c>
      <c r="AH337" t="b">
        <v>0</v>
      </c>
      <c r="AI337" t="b">
        <v>0</v>
      </c>
      <c r="AK337" t="s">
        <v>497</v>
      </c>
      <c r="AL337" t="b">
        <v>0</v>
      </c>
      <c r="AM337" t="b">
        <v>0</v>
      </c>
    </row>
    <row r="338" spans="1:39">
      <c r="A338" t="s">
        <v>1043</v>
      </c>
      <c r="B338" t="b">
        <v>1</v>
      </c>
      <c r="C338">
        <v>103055</v>
      </c>
      <c r="D338" t="s">
        <v>413</v>
      </c>
      <c r="E338" t="s">
        <v>414</v>
      </c>
      <c r="F338" t="s">
        <v>488</v>
      </c>
      <c r="G338" t="s">
        <v>489</v>
      </c>
      <c r="H338" t="s">
        <v>41</v>
      </c>
      <c r="I338">
        <v>1</v>
      </c>
      <c r="J338" s="4">
        <v>43925</v>
      </c>
      <c r="K338" s="4">
        <v>43925</v>
      </c>
      <c r="L338" s="5">
        <v>0.4375</v>
      </c>
      <c r="M338" s="5">
        <v>0.46527777777777779</v>
      </c>
      <c r="N338">
        <v>55.5351</v>
      </c>
      <c r="O338">
        <v>13.95862</v>
      </c>
      <c r="P338">
        <v>434276</v>
      </c>
      <c r="Q338">
        <v>6154832</v>
      </c>
      <c r="R338" t="s">
        <v>490</v>
      </c>
      <c r="S338">
        <v>400</v>
      </c>
      <c r="T338" t="s">
        <v>563</v>
      </c>
      <c r="U338" t="s">
        <v>508</v>
      </c>
      <c r="V338" t="s">
        <v>504</v>
      </c>
      <c r="W338" t="s">
        <v>494</v>
      </c>
      <c r="X338" t="s">
        <v>494</v>
      </c>
      <c r="Y338" t="s">
        <v>536</v>
      </c>
      <c r="Z338">
        <v>1</v>
      </c>
      <c r="AA338">
        <v>1</v>
      </c>
      <c r="AE338" t="s">
        <v>42</v>
      </c>
      <c r="AF338" t="s">
        <v>496</v>
      </c>
      <c r="AG338" t="b">
        <v>0</v>
      </c>
      <c r="AH338" t="b">
        <v>0</v>
      </c>
      <c r="AI338" t="b">
        <v>0</v>
      </c>
      <c r="AK338" t="s">
        <v>497</v>
      </c>
      <c r="AL338" t="b">
        <v>0</v>
      </c>
      <c r="AM338" t="b">
        <v>0</v>
      </c>
    </row>
    <row r="339" spans="1:39">
      <c r="A339" t="s">
        <v>1044</v>
      </c>
      <c r="B339" t="b">
        <v>1</v>
      </c>
      <c r="C339">
        <v>102972</v>
      </c>
      <c r="D339" t="s">
        <v>55</v>
      </c>
      <c r="E339" t="s">
        <v>56</v>
      </c>
      <c r="F339" t="s">
        <v>488</v>
      </c>
      <c r="G339" t="s">
        <v>489</v>
      </c>
      <c r="H339" t="s">
        <v>41</v>
      </c>
      <c r="I339">
        <v>1</v>
      </c>
      <c r="J339" s="4">
        <v>44324</v>
      </c>
      <c r="K339" s="4">
        <v>44324</v>
      </c>
      <c r="N339">
        <v>55.54081</v>
      </c>
      <c r="O339">
        <v>13.95609</v>
      </c>
      <c r="P339">
        <v>434125</v>
      </c>
      <c r="Q339">
        <v>6155470</v>
      </c>
      <c r="R339" t="s">
        <v>490</v>
      </c>
      <c r="S339">
        <v>1500</v>
      </c>
      <c r="T339" t="s">
        <v>507</v>
      </c>
      <c r="U339" t="s">
        <v>508</v>
      </c>
      <c r="V339" t="s">
        <v>504</v>
      </c>
      <c r="W339" t="s">
        <v>494</v>
      </c>
      <c r="X339" t="s">
        <v>494</v>
      </c>
      <c r="Y339" t="s">
        <v>846</v>
      </c>
      <c r="Z339">
        <v>2</v>
      </c>
      <c r="AA339">
        <v>2</v>
      </c>
      <c r="AE339" t="s">
        <v>538</v>
      </c>
      <c r="AF339" t="s">
        <v>496</v>
      </c>
      <c r="AG339" t="b">
        <v>0</v>
      </c>
      <c r="AH339" t="b">
        <v>0</v>
      </c>
      <c r="AI339" t="b">
        <v>0</v>
      </c>
      <c r="AK339" t="s">
        <v>497</v>
      </c>
      <c r="AL339" t="b">
        <v>0</v>
      </c>
      <c r="AM339" t="b">
        <v>0</v>
      </c>
    </row>
    <row r="340" spans="1:39">
      <c r="A340" t="s">
        <v>1045</v>
      </c>
      <c r="B340" t="b">
        <v>1</v>
      </c>
      <c r="C340">
        <v>102105</v>
      </c>
      <c r="D340" t="s">
        <v>110</v>
      </c>
      <c r="E340" t="s">
        <v>111</v>
      </c>
      <c r="F340" t="s">
        <v>488</v>
      </c>
      <c r="G340" t="s">
        <v>489</v>
      </c>
      <c r="H340" t="s">
        <v>46</v>
      </c>
      <c r="I340">
        <v>1</v>
      </c>
      <c r="J340" s="4">
        <v>44350</v>
      </c>
      <c r="K340" s="4">
        <v>44350</v>
      </c>
      <c r="L340" s="5">
        <v>0.77083333333333337</v>
      </c>
      <c r="M340" s="5">
        <v>0.8125</v>
      </c>
      <c r="N340">
        <v>55.515189999999997</v>
      </c>
      <c r="O340">
        <v>13.899330000000001</v>
      </c>
      <c r="P340">
        <v>430498</v>
      </c>
      <c r="Q340">
        <v>6152673</v>
      </c>
      <c r="R340" t="s">
        <v>490</v>
      </c>
      <c r="S340">
        <v>125</v>
      </c>
      <c r="T340" t="s">
        <v>552</v>
      </c>
      <c r="U340" t="s">
        <v>525</v>
      </c>
      <c r="V340" t="s">
        <v>504</v>
      </c>
      <c r="W340" t="s">
        <v>494</v>
      </c>
      <c r="X340" t="s">
        <v>494</v>
      </c>
      <c r="Y340" t="s">
        <v>536</v>
      </c>
      <c r="Z340">
        <v>1</v>
      </c>
      <c r="AA340">
        <v>1</v>
      </c>
      <c r="AD340" t="s">
        <v>510</v>
      </c>
      <c r="AE340" t="s">
        <v>538</v>
      </c>
      <c r="AF340" t="s">
        <v>496</v>
      </c>
      <c r="AG340" t="b">
        <v>0</v>
      </c>
      <c r="AH340" t="b">
        <v>0</v>
      </c>
      <c r="AI340" t="b">
        <v>0</v>
      </c>
      <c r="AK340" t="s">
        <v>497</v>
      </c>
      <c r="AL340" t="b">
        <v>0</v>
      </c>
      <c r="AM340" t="b">
        <v>0</v>
      </c>
    </row>
    <row r="341" spans="1:39">
      <c r="A341" t="s">
        <v>1046</v>
      </c>
      <c r="B341" t="b">
        <v>1</v>
      </c>
      <c r="C341">
        <v>102950</v>
      </c>
      <c r="D341" t="s">
        <v>150</v>
      </c>
      <c r="E341" t="s">
        <v>151</v>
      </c>
      <c r="F341" t="s">
        <v>488</v>
      </c>
      <c r="G341" t="s">
        <v>489</v>
      </c>
      <c r="H341" t="s">
        <v>41</v>
      </c>
      <c r="I341">
        <v>1</v>
      </c>
      <c r="J341" s="4">
        <v>45078</v>
      </c>
      <c r="K341" s="4">
        <v>45078</v>
      </c>
      <c r="N341">
        <v>55.551600000000001</v>
      </c>
      <c r="O341">
        <v>13.955550000000001</v>
      </c>
      <c r="P341">
        <v>434109</v>
      </c>
      <c r="Q341">
        <v>6156670</v>
      </c>
      <c r="R341" t="s">
        <v>490</v>
      </c>
      <c r="S341">
        <v>250</v>
      </c>
      <c r="T341" t="s">
        <v>765</v>
      </c>
      <c r="U341" t="s">
        <v>508</v>
      </c>
      <c r="V341" t="s">
        <v>504</v>
      </c>
      <c r="W341" t="s">
        <v>494</v>
      </c>
      <c r="X341" t="s">
        <v>494</v>
      </c>
      <c r="Y341" t="s">
        <v>536</v>
      </c>
      <c r="Z341">
        <v>1</v>
      </c>
      <c r="AA341">
        <v>1</v>
      </c>
      <c r="AE341" t="s">
        <v>429</v>
      </c>
      <c r="AF341" t="s">
        <v>496</v>
      </c>
      <c r="AG341" t="b">
        <v>0</v>
      </c>
      <c r="AH341" t="b">
        <v>0</v>
      </c>
      <c r="AI341" t="b">
        <v>0</v>
      </c>
      <c r="AK341" t="s">
        <v>497</v>
      </c>
      <c r="AL341" t="b">
        <v>0</v>
      </c>
      <c r="AM341" t="b">
        <v>0</v>
      </c>
    </row>
    <row r="342" spans="1:39">
      <c r="A342" t="s">
        <v>1047</v>
      </c>
      <c r="B342" t="b">
        <v>1</v>
      </c>
      <c r="C342">
        <v>102952</v>
      </c>
      <c r="D342" t="s">
        <v>158</v>
      </c>
      <c r="E342" t="s">
        <v>159</v>
      </c>
      <c r="F342" t="s">
        <v>488</v>
      </c>
      <c r="G342" t="s">
        <v>489</v>
      </c>
      <c r="H342" t="s">
        <v>85</v>
      </c>
      <c r="I342">
        <v>1</v>
      </c>
      <c r="J342" s="4">
        <v>45086</v>
      </c>
      <c r="K342" s="4">
        <v>45086</v>
      </c>
      <c r="L342" s="5">
        <v>0.51388888888888884</v>
      </c>
      <c r="M342" s="5">
        <v>0.61111111111111116</v>
      </c>
      <c r="N342">
        <v>55.530799999999999</v>
      </c>
      <c r="O342">
        <v>13.88344</v>
      </c>
      <c r="P342">
        <v>429523</v>
      </c>
      <c r="Q342">
        <v>6154427</v>
      </c>
      <c r="R342" t="s">
        <v>490</v>
      </c>
      <c r="S342">
        <v>250</v>
      </c>
      <c r="T342" t="s">
        <v>1048</v>
      </c>
      <c r="U342" t="s">
        <v>516</v>
      </c>
      <c r="V342" t="s">
        <v>493</v>
      </c>
      <c r="W342" t="s">
        <v>494</v>
      </c>
      <c r="X342" t="s">
        <v>494</v>
      </c>
      <c r="Y342" t="s">
        <v>846</v>
      </c>
      <c r="Z342">
        <v>3</v>
      </c>
      <c r="AA342">
        <v>3</v>
      </c>
      <c r="AE342" t="s">
        <v>538</v>
      </c>
      <c r="AF342" t="s">
        <v>496</v>
      </c>
      <c r="AG342" t="b">
        <v>0</v>
      </c>
      <c r="AH342" t="b">
        <v>0</v>
      </c>
      <c r="AI342" t="b">
        <v>0</v>
      </c>
      <c r="AK342" t="s">
        <v>497</v>
      </c>
      <c r="AL342" t="b">
        <v>0</v>
      </c>
      <c r="AM342" t="b">
        <v>0</v>
      </c>
    </row>
    <row r="343" spans="1:39">
      <c r="A343" t="s">
        <v>1049</v>
      </c>
      <c r="B343" t="b">
        <v>1</v>
      </c>
      <c r="C343">
        <v>100033</v>
      </c>
      <c r="D343" t="s">
        <v>44</v>
      </c>
      <c r="E343" t="s">
        <v>45</v>
      </c>
      <c r="F343" t="s">
        <v>488</v>
      </c>
      <c r="G343" t="s">
        <v>489</v>
      </c>
      <c r="H343" t="s">
        <v>46</v>
      </c>
      <c r="I343">
        <v>1</v>
      </c>
      <c r="J343" s="4">
        <v>45088</v>
      </c>
      <c r="K343" s="4">
        <v>45088</v>
      </c>
      <c r="L343" s="5">
        <v>0.55555555555555558</v>
      </c>
      <c r="M343" s="5">
        <v>0.68333333333333335</v>
      </c>
      <c r="N343">
        <v>55.525739999999999</v>
      </c>
      <c r="O343">
        <v>13.93807</v>
      </c>
      <c r="P343">
        <v>432962</v>
      </c>
      <c r="Q343">
        <v>6153810</v>
      </c>
      <c r="R343" t="s">
        <v>490</v>
      </c>
      <c r="S343">
        <v>1981</v>
      </c>
      <c r="T343" t="s">
        <v>524</v>
      </c>
      <c r="U343" t="s">
        <v>525</v>
      </c>
      <c r="V343" t="s">
        <v>504</v>
      </c>
      <c r="W343" t="s">
        <v>494</v>
      </c>
      <c r="X343" t="s">
        <v>494</v>
      </c>
      <c r="Y343" t="s">
        <v>812</v>
      </c>
      <c r="Z343">
        <v>1</v>
      </c>
      <c r="AA343">
        <v>1</v>
      </c>
      <c r="AD343" t="s">
        <v>725</v>
      </c>
      <c r="AE343" t="s">
        <v>538</v>
      </c>
      <c r="AF343" t="s">
        <v>496</v>
      </c>
      <c r="AG343" t="b">
        <v>0</v>
      </c>
      <c r="AH343" t="b">
        <v>0</v>
      </c>
      <c r="AI343" t="b">
        <v>0</v>
      </c>
      <c r="AK343" t="s">
        <v>497</v>
      </c>
      <c r="AL343" t="b">
        <v>0</v>
      </c>
      <c r="AM343" t="b">
        <v>0</v>
      </c>
    </row>
    <row r="344" spans="1:39">
      <c r="A344" t="s">
        <v>1050</v>
      </c>
      <c r="B344" t="b">
        <v>1</v>
      </c>
      <c r="C344">
        <v>102932</v>
      </c>
      <c r="D344" t="s">
        <v>116</v>
      </c>
      <c r="E344" t="s">
        <v>117</v>
      </c>
      <c r="F344" t="s">
        <v>488</v>
      </c>
      <c r="G344" t="s">
        <v>489</v>
      </c>
      <c r="H344" t="s">
        <v>41</v>
      </c>
      <c r="I344">
        <v>1</v>
      </c>
      <c r="J344" s="4">
        <v>45017</v>
      </c>
      <c r="K344" s="4">
        <v>45017</v>
      </c>
      <c r="L344" s="5">
        <v>0.59375</v>
      </c>
      <c r="M344" s="5">
        <v>0.60416666666666663</v>
      </c>
      <c r="N344">
        <v>55.5351</v>
      </c>
      <c r="O344">
        <v>13.95862</v>
      </c>
      <c r="P344">
        <v>434276</v>
      </c>
      <c r="Q344">
        <v>6154832</v>
      </c>
      <c r="R344" t="s">
        <v>490</v>
      </c>
      <c r="S344">
        <v>400</v>
      </c>
      <c r="T344" t="s">
        <v>563</v>
      </c>
      <c r="U344" t="s">
        <v>508</v>
      </c>
      <c r="V344" t="s">
        <v>504</v>
      </c>
      <c r="W344" t="s">
        <v>494</v>
      </c>
      <c r="X344" t="s">
        <v>494</v>
      </c>
      <c r="Y344" t="s">
        <v>536</v>
      </c>
      <c r="Z344">
        <v>20</v>
      </c>
      <c r="AA344">
        <v>20</v>
      </c>
      <c r="AE344" t="s">
        <v>538</v>
      </c>
      <c r="AF344" t="s">
        <v>496</v>
      </c>
      <c r="AG344" t="b">
        <v>0</v>
      </c>
      <c r="AH344" t="b">
        <v>0</v>
      </c>
      <c r="AI344" t="b">
        <v>0</v>
      </c>
      <c r="AK344" t="s">
        <v>497</v>
      </c>
      <c r="AL344" t="b">
        <v>0</v>
      </c>
      <c r="AM344" t="b">
        <v>0</v>
      </c>
    </row>
    <row r="345" spans="1:39">
      <c r="A345" t="s">
        <v>1051</v>
      </c>
      <c r="B345" t="b">
        <v>1</v>
      </c>
      <c r="C345">
        <v>100124</v>
      </c>
      <c r="D345" t="s">
        <v>352</v>
      </c>
      <c r="E345" t="s">
        <v>353</v>
      </c>
      <c r="F345" t="s">
        <v>488</v>
      </c>
      <c r="G345" t="s">
        <v>489</v>
      </c>
      <c r="H345" t="s">
        <v>81</v>
      </c>
      <c r="I345">
        <v>1</v>
      </c>
      <c r="J345" s="4">
        <v>45062</v>
      </c>
      <c r="K345" s="4">
        <v>45062</v>
      </c>
      <c r="L345" s="5">
        <v>0.5625</v>
      </c>
      <c r="M345" s="5">
        <v>0.5625</v>
      </c>
      <c r="N345">
        <v>55.545859999999998</v>
      </c>
      <c r="O345">
        <v>13.981260000000001</v>
      </c>
      <c r="P345">
        <v>435722</v>
      </c>
      <c r="Q345">
        <v>6156008</v>
      </c>
      <c r="R345" t="s">
        <v>490</v>
      </c>
      <c r="S345">
        <v>770</v>
      </c>
      <c r="T345" t="s">
        <v>1052</v>
      </c>
      <c r="U345" t="s">
        <v>947</v>
      </c>
      <c r="V345" t="s">
        <v>504</v>
      </c>
      <c r="W345" t="s">
        <v>494</v>
      </c>
      <c r="X345" t="s">
        <v>494</v>
      </c>
      <c r="Y345" t="s">
        <v>536</v>
      </c>
      <c r="Z345">
        <v>20</v>
      </c>
      <c r="AA345">
        <v>20</v>
      </c>
      <c r="AE345" t="s">
        <v>52</v>
      </c>
      <c r="AF345" t="s">
        <v>496</v>
      </c>
      <c r="AG345" t="b">
        <v>0</v>
      </c>
      <c r="AH345" t="b">
        <v>0</v>
      </c>
      <c r="AI345" t="b">
        <v>0</v>
      </c>
      <c r="AK345" t="s">
        <v>497</v>
      </c>
      <c r="AL345" t="b">
        <v>0</v>
      </c>
      <c r="AM345" t="b">
        <v>0</v>
      </c>
    </row>
    <row r="346" spans="1:39">
      <c r="A346" t="s">
        <v>1053</v>
      </c>
      <c r="B346" t="b">
        <v>1</v>
      </c>
      <c r="C346">
        <v>100065</v>
      </c>
      <c r="D346" t="s">
        <v>138</v>
      </c>
      <c r="E346" t="s">
        <v>139</v>
      </c>
      <c r="F346" t="s">
        <v>488</v>
      </c>
      <c r="G346" t="s">
        <v>489</v>
      </c>
      <c r="H346" t="s">
        <v>46</v>
      </c>
      <c r="I346">
        <v>1</v>
      </c>
      <c r="J346" s="4">
        <v>45373</v>
      </c>
      <c r="K346" s="4">
        <v>45373</v>
      </c>
      <c r="L346" s="5">
        <v>0.6875</v>
      </c>
      <c r="M346" s="5">
        <v>0.73611111111111116</v>
      </c>
      <c r="N346">
        <v>55.515189999999997</v>
      </c>
      <c r="O346">
        <v>13.899330000000001</v>
      </c>
      <c r="P346">
        <v>430498</v>
      </c>
      <c r="Q346">
        <v>6152673</v>
      </c>
      <c r="R346" t="s">
        <v>490</v>
      </c>
      <c r="S346">
        <v>125</v>
      </c>
      <c r="T346" t="s">
        <v>552</v>
      </c>
      <c r="U346" t="s">
        <v>525</v>
      </c>
      <c r="V346" t="s">
        <v>504</v>
      </c>
      <c r="W346" t="s">
        <v>494</v>
      </c>
      <c r="X346" t="s">
        <v>494</v>
      </c>
      <c r="Y346" t="s">
        <v>536</v>
      </c>
      <c r="Z346">
        <v>2</v>
      </c>
      <c r="AA346">
        <v>2</v>
      </c>
      <c r="AE346" t="s">
        <v>538</v>
      </c>
      <c r="AF346" t="s">
        <v>496</v>
      </c>
      <c r="AG346" t="b">
        <v>0</v>
      </c>
      <c r="AH346" t="b">
        <v>0</v>
      </c>
      <c r="AI346" t="b">
        <v>0</v>
      </c>
      <c r="AK346" t="s">
        <v>497</v>
      </c>
      <c r="AL346" t="b">
        <v>0</v>
      </c>
      <c r="AM346" t="b">
        <v>0</v>
      </c>
    </row>
    <row r="347" spans="1:39">
      <c r="A347" t="s">
        <v>1054</v>
      </c>
      <c r="B347" t="b">
        <v>1</v>
      </c>
      <c r="C347">
        <v>103020</v>
      </c>
      <c r="D347" t="s">
        <v>328</v>
      </c>
      <c r="E347" t="s">
        <v>329</v>
      </c>
      <c r="F347" t="s">
        <v>488</v>
      </c>
      <c r="G347" t="s">
        <v>489</v>
      </c>
      <c r="H347" t="s">
        <v>41</v>
      </c>
      <c r="I347">
        <v>1</v>
      </c>
      <c r="J347" s="4">
        <v>45029</v>
      </c>
      <c r="K347" s="4">
        <v>45029</v>
      </c>
      <c r="L347" s="5">
        <v>0.52083333333333337</v>
      </c>
      <c r="M347" s="5">
        <v>0.5625</v>
      </c>
      <c r="N347">
        <v>55.547759999999997</v>
      </c>
      <c r="O347">
        <v>13.86754</v>
      </c>
      <c r="P347">
        <v>428550</v>
      </c>
      <c r="Q347">
        <v>6156331</v>
      </c>
      <c r="R347" t="s">
        <v>490</v>
      </c>
      <c r="S347">
        <v>627</v>
      </c>
      <c r="T347" t="s">
        <v>541</v>
      </c>
      <c r="U347" t="s">
        <v>525</v>
      </c>
      <c r="V347" t="s">
        <v>504</v>
      </c>
      <c r="W347" t="s">
        <v>494</v>
      </c>
      <c r="X347" t="s">
        <v>494</v>
      </c>
      <c r="Y347" t="s">
        <v>645</v>
      </c>
      <c r="Z347">
        <v>2</v>
      </c>
      <c r="AA347">
        <v>2</v>
      </c>
      <c r="AE347" t="s">
        <v>538</v>
      </c>
      <c r="AF347" t="s">
        <v>496</v>
      </c>
      <c r="AG347" t="b">
        <v>0</v>
      </c>
      <c r="AH347" t="b">
        <v>0</v>
      </c>
      <c r="AI347" t="b">
        <v>0</v>
      </c>
      <c r="AK347" t="s">
        <v>497</v>
      </c>
      <c r="AL347" t="b">
        <v>0</v>
      </c>
      <c r="AM347" t="b">
        <v>0</v>
      </c>
    </row>
    <row r="348" spans="1:39">
      <c r="A348" t="s">
        <v>1055</v>
      </c>
      <c r="B348" t="b">
        <v>1</v>
      </c>
      <c r="C348">
        <v>102963</v>
      </c>
      <c r="D348" t="s">
        <v>216</v>
      </c>
      <c r="E348" t="s">
        <v>217</v>
      </c>
      <c r="F348" t="s">
        <v>488</v>
      </c>
      <c r="G348" t="s">
        <v>489</v>
      </c>
      <c r="H348" t="s">
        <v>41</v>
      </c>
      <c r="I348">
        <v>1</v>
      </c>
      <c r="J348" s="4">
        <v>45092</v>
      </c>
      <c r="K348" s="4">
        <v>45092</v>
      </c>
      <c r="L348" s="5">
        <v>0.375</v>
      </c>
      <c r="M348" s="5">
        <v>0.375</v>
      </c>
      <c r="N348">
        <v>55.54081</v>
      </c>
      <c r="O348">
        <v>13.95609</v>
      </c>
      <c r="P348">
        <v>434125</v>
      </c>
      <c r="Q348">
        <v>6155470</v>
      </c>
      <c r="R348" t="s">
        <v>490</v>
      </c>
      <c r="S348">
        <v>1500</v>
      </c>
      <c r="T348" t="s">
        <v>507</v>
      </c>
      <c r="U348" t="s">
        <v>508</v>
      </c>
      <c r="V348" t="s">
        <v>504</v>
      </c>
      <c r="W348" t="s">
        <v>494</v>
      </c>
      <c r="X348" t="s">
        <v>494</v>
      </c>
      <c r="Y348" t="s">
        <v>572</v>
      </c>
      <c r="Z348">
        <v>1</v>
      </c>
      <c r="AA348">
        <v>1</v>
      </c>
      <c r="AE348" t="s">
        <v>429</v>
      </c>
      <c r="AF348" t="s">
        <v>496</v>
      </c>
      <c r="AG348" t="b">
        <v>0</v>
      </c>
      <c r="AH348" t="b">
        <v>0</v>
      </c>
      <c r="AI348" t="b">
        <v>0</v>
      </c>
      <c r="AK348" t="s">
        <v>497</v>
      </c>
      <c r="AL348" t="b">
        <v>0</v>
      </c>
      <c r="AM348" t="b">
        <v>0</v>
      </c>
    </row>
    <row r="349" spans="1:39">
      <c r="A349" t="s">
        <v>1056</v>
      </c>
      <c r="B349" t="b">
        <v>1</v>
      </c>
      <c r="C349">
        <v>100048</v>
      </c>
      <c r="D349" t="s">
        <v>304</v>
      </c>
      <c r="E349" t="s">
        <v>305</v>
      </c>
      <c r="F349" t="s">
        <v>488</v>
      </c>
      <c r="G349" t="s">
        <v>489</v>
      </c>
      <c r="H349" t="s">
        <v>41</v>
      </c>
      <c r="I349">
        <v>1</v>
      </c>
      <c r="J349" s="4">
        <v>37728</v>
      </c>
      <c r="K349" s="4">
        <v>37728</v>
      </c>
      <c r="L349" s="5">
        <v>0</v>
      </c>
      <c r="M349" s="5">
        <v>0</v>
      </c>
      <c r="N349">
        <v>55.525750000000002</v>
      </c>
      <c r="O349">
        <v>13.88649</v>
      </c>
      <c r="P349">
        <v>429706</v>
      </c>
      <c r="Q349">
        <v>6153862</v>
      </c>
      <c r="R349" t="s">
        <v>490</v>
      </c>
      <c r="S349">
        <v>311</v>
      </c>
      <c r="T349" t="s">
        <v>515</v>
      </c>
      <c r="U349" t="s">
        <v>516</v>
      </c>
      <c r="V349" t="s">
        <v>493</v>
      </c>
      <c r="W349" t="s">
        <v>494</v>
      </c>
      <c r="X349" t="s">
        <v>494</v>
      </c>
      <c r="Y349" t="s">
        <v>699</v>
      </c>
      <c r="Z349">
        <v>1</v>
      </c>
      <c r="AA349">
        <v>1</v>
      </c>
      <c r="AD349" t="s">
        <v>510</v>
      </c>
      <c r="AE349" t="s">
        <v>42</v>
      </c>
      <c r="AF349" t="s">
        <v>496</v>
      </c>
      <c r="AG349" t="b">
        <v>0</v>
      </c>
      <c r="AH349" t="b">
        <v>0</v>
      </c>
      <c r="AI349" t="b">
        <v>0</v>
      </c>
      <c r="AK349" t="s">
        <v>497</v>
      </c>
      <c r="AL349" t="b">
        <v>0</v>
      </c>
      <c r="AM349" t="b">
        <v>0</v>
      </c>
    </row>
    <row r="350" spans="1:39">
      <c r="A350" t="s">
        <v>1057</v>
      </c>
      <c r="B350" t="b">
        <v>1</v>
      </c>
      <c r="C350">
        <v>102104</v>
      </c>
      <c r="D350" t="s">
        <v>126</v>
      </c>
      <c r="E350" t="s">
        <v>127</v>
      </c>
      <c r="F350" t="s">
        <v>488</v>
      </c>
      <c r="G350" t="s">
        <v>489</v>
      </c>
      <c r="H350" t="s">
        <v>46</v>
      </c>
      <c r="I350">
        <v>1</v>
      </c>
      <c r="J350" s="4">
        <v>38886</v>
      </c>
      <c r="K350" s="4">
        <v>38886</v>
      </c>
      <c r="L350" s="5">
        <v>0</v>
      </c>
      <c r="M350" s="5">
        <v>0</v>
      </c>
      <c r="N350">
        <v>55.54081</v>
      </c>
      <c r="O350">
        <v>13.95609</v>
      </c>
      <c r="P350">
        <v>434125</v>
      </c>
      <c r="Q350">
        <v>6155470</v>
      </c>
      <c r="R350" t="s">
        <v>490</v>
      </c>
      <c r="S350">
        <v>1500</v>
      </c>
      <c r="T350" t="s">
        <v>507</v>
      </c>
      <c r="U350" t="s">
        <v>508</v>
      </c>
      <c r="V350" t="s">
        <v>504</v>
      </c>
      <c r="W350" t="s">
        <v>494</v>
      </c>
      <c r="X350" t="s">
        <v>494</v>
      </c>
      <c r="Y350" t="s">
        <v>741</v>
      </c>
      <c r="Z350">
        <v>1</v>
      </c>
      <c r="AA350">
        <v>1</v>
      </c>
      <c r="AC350" t="s">
        <v>512</v>
      </c>
      <c r="AE350" t="s">
        <v>42</v>
      </c>
      <c r="AF350" t="s">
        <v>496</v>
      </c>
      <c r="AG350" t="b">
        <v>0</v>
      </c>
      <c r="AH350" t="b">
        <v>0</v>
      </c>
      <c r="AI350" t="b">
        <v>0</v>
      </c>
      <c r="AK350" t="s">
        <v>497</v>
      </c>
      <c r="AL350" t="b">
        <v>0</v>
      </c>
      <c r="AM350" t="b">
        <v>0</v>
      </c>
    </row>
    <row r="351" spans="1:39">
      <c r="A351" t="s">
        <v>1058</v>
      </c>
      <c r="B351" t="b">
        <v>1</v>
      </c>
      <c r="C351">
        <v>103055</v>
      </c>
      <c r="D351" t="s">
        <v>413</v>
      </c>
      <c r="E351" t="s">
        <v>414</v>
      </c>
      <c r="F351" t="s">
        <v>488</v>
      </c>
      <c r="G351" t="s">
        <v>489</v>
      </c>
      <c r="H351" t="s">
        <v>41</v>
      </c>
      <c r="I351">
        <v>1</v>
      </c>
      <c r="J351" s="4">
        <v>38850</v>
      </c>
      <c r="K351" s="4">
        <v>38850</v>
      </c>
      <c r="L351" s="5">
        <v>0</v>
      </c>
      <c r="M351" s="5">
        <v>0</v>
      </c>
      <c r="N351">
        <v>55.555309999999999</v>
      </c>
      <c r="O351">
        <v>13.8569</v>
      </c>
      <c r="P351">
        <v>427893</v>
      </c>
      <c r="Q351">
        <v>6157182</v>
      </c>
      <c r="R351" t="s">
        <v>490</v>
      </c>
      <c r="S351">
        <v>140</v>
      </c>
      <c r="T351" t="s">
        <v>491</v>
      </c>
      <c r="U351" t="s">
        <v>492</v>
      </c>
      <c r="V351" t="s">
        <v>493</v>
      </c>
      <c r="W351" t="s">
        <v>494</v>
      </c>
      <c r="X351" t="s">
        <v>494</v>
      </c>
      <c r="Y351" t="s">
        <v>495</v>
      </c>
      <c r="Z351">
        <v>2</v>
      </c>
      <c r="AA351">
        <v>2</v>
      </c>
      <c r="AE351" t="s">
        <v>42</v>
      </c>
      <c r="AF351" t="s">
        <v>496</v>
      </c>
      <c r="AG351" t="b">
        <v>0</v>
      </c>
      <c r="AH351" t="b">
        <v>0</v>
      </c>
      <c r="AI351" t="b">
        <v>0</v>
      </c>
      <c r="AK351" t="s">
        <v>497</v>
      </c>
      <c r="AL351" t="b">
        <v>0</v>
      </c>
      <c r="AM351" t="b">
        <v>0</v>
      </c>
    </row>
    <row r="352" spans="1:39">
      <c r="A352" t="s">
        <v>1059</v>
      </c>
      <c r="B352" t="b">
        <v>1</v>
      </c>
      <c r="C352">
        <v>103037</v>
      </c>
      <c r="D352" t="s">
        <v>368</v>
      </c>
      <c r="E352" t="s">
        <v>369</v>
      </c>
      <c r="F352" t="s">
        <v>488</v>
      </c>
      <c r="G352" t="s">
        <v>489</v>
      </c>
      <c r="H352" t="s">
        <v>85</v>
      </c>
      <c r="I352">
        <v>1</v>
      </c>
      <c r="J352" s="4">
        <v>38861</v>
      </c>
      <c r="K352" s="4">
        <v>38861</v>
      </c>
      <c r="L352" s="5">
        <v>0</v>
      </c>
      <c r="M352" s="5">
        <v>0</v>
      </c>
      <c r="N352">
        <v>55.555309999999999</v>
      </c>
      <c r="O352">
        <v>13.8569</v>
      </c>
      <c r="P352">
        <v>427893</v>
      </c>
      <c r="Q352">
        <v>6157182</v>
      </c>
      <c r="R352" t="s">
        <v>490</v>
      </c>
      <c r="S352">
        <v>140</v>
      </c>
      <c r="T352" t="s">
        <v>491</v>
      </c>
      <c r="U352" t="s">
        <v>492</v>
      </c>
      <c r="V352" t="s">
        <v>493</v>
      </c>
      <c r="W352" t="s">
        <v>494</v>
      </c>
      <c r="X352" t="s">
        <v>494</v>
      </c>
      <c r="Y352" t="s">
        <v>495</v>
      </c>
      <c r="Z352">
        <v>2</v>
      </c>
      <c r="AA352">
        <v>2</v>
      </c>
      <c r="AE352" t="s">
        <v>884</v>
      </c>
      <c r="AF352" t="s">
        <v>496</v>
      </c>
      <c r="AG352" t="b">
        <v>0</v>
      </c>
      <c r="AH352" t="b">
        <v>0</v>
      </c>
      <c r="AI352" t="b">
        <v>0</v>
      </c>
      <c r="AK352" t="s">
        <v>497</v>
      </c>
      <c r="AL352" t="b">
        <v>0</v>
      </c>
      <c r="AM352" t="b">
        <v>0</v>
      </c>
    </row>
    <row r="353" spans="1:39">
      <c r="A353" t="s">
        <v>1060</v>
      </c>
      <c r="B353" t="b">
        <v>1</v>
      </c>
      <c r="C353">
        <v>102626</v>
      </c>
      <c r="D353" t="s">
        <v>318</v>
      </c>
      <c r="E353" t="s">
        <v>319</v>
      </c>
      <c r="F353" t="s">
        <v>488</v>
      </c>
      <c r="G353" t="s">
        <v>489</v>
      </c>
      <c r="H353" t="s">
        <v>46</v>
      </c>
      <c r="I353">
        <v>1</v>
      </c>
      <c r="J353" s="4">
        <v>39219</v>
      </c>
      <c r="K353" s="4">
        <v>39219</v>
      </c>
      <c r="L353" s="5">
        <v>0</v>
      </c>
      <c r="M353" s="5">
        <v>0</v>
      </c>
      <c r="N353">
        <v>55.555309999999999</v>
      </c>
      <c r="O353">
        <v>13.8569</v>
      </c>
      <c r="P353">
        <v>427893</v>
      </c>
      <c r="Q353">
        <v>6157182</v>
      </c>
      <c r="R353" t="s">
        <v>490</v>
      </c>
      <c r="S353">
        <v>140</v>
      </c>
      <c r="T353" t="s">
        <v>491</v>
      </c>
      <c r="U353" t="s">
        <v>492</v>
      </c>
      <c r="V353" t="s">
        <v>493</v>
      </c>
      <c r="W353" t="s">
        <v>494</v>
      </c>
      <c r="X353" t="s">
        <v>494</v>
      </c>
      <c r="Y353" t="s">
        <v>495</v>
      </c>
      <c r="Z353">
        <v>2</v>
      </c>
      <c r="AA353">
        <v>2</v>
      </c>
      <c r="AD353" t="s">
        <v>527</v>
      </c>
      <c r="AE353" t="s">
        <v>51</v>
      </c>
      <c r="AF353" t="s">
        <v>496</v>
      </c>
      <c r="AG353" t="b">
        <v>0</v>
      </c>
      <c r="AH353" t="b">
        <v>0</v>
      </c>
      <c r="AI353" t="b">
        <v>0</v>
      </c>
      <c r="AK353" t="s">
        <v>497</v>
      </c>
      <c r="AL353" t="b">
        <v>0</v>
      </c>
      <c r="AM353" t="b">
        <v>0</v>
      </c>
    </row>
    <row r="354" spans="1:39">
      <c r="A354" t="s">
        <v>1061</v>
      </c>
      <c r="B354" t="b">
        <v>1</v>
      </c>
      <c r="C354">
        <v>100049</v>
      </c>
      <c r="D354" t="s">
        <v>295</v>
      </c>
      <c r="E354" t="s">
        <v>296</v>
      </c>
      <c r="F354" t="s">
        <v>488</v>
      </c>
      <c r="G354" t="s">
        <v>489</v>
      </c>
      <c r="H354" t="s">
        <v>46</v>
      </c>
      <c r="I354">
        <v>1</v>
      </c>
      <c r="J354" s="4">
        <v>39838</v>
      </c>
      <c r="K354" s="4">
        <v>39838</v>
      </c>
      <c r="L354" s="5">
        <v>0.4513888888888889</v>
      </c>
      <c r="M354" s="5">
        <v>0.4513888888888889</v>
      </c>
      <c r="N354">
        <v>55.556330000000003</v>
      </c>
      <c r="O354">
        <v>13.86158</v>
      </c>
      <c r="P354">
        <v>428190</v>
      </c>
      <c r="Q354">
        <v>6157290</v>
      </c>
      <c r="R354" t="s">
        <v>490</v>
      </c>
      <c r="S354">
        <v>139</v>
      </c>
      <c r="T354" t="s">
        <v>647</v>
      </c>
      <c r="U354" t="s">
        <v>532</v>
      </c>
      <c r="V354" t="s">
        <v>504</v>
      </c>
      <c r="W354" t="s">
        <v>494</v>
      </c>
      <c r="X354" t="s">
        <v>494</v>
      </c>
      <c r="Y354" t="s">
        <v>1062</v>
      </c>
      <c r="Z354">
        <v>2</v>
      </c>
      <c r="AA354">
        <v>2</v>
      </c>
      <c r="AE354" t="s">
        <v>42</v>
      </c>
      <c r="AF354" t="s">
        <v>496</v>
      </c>
      <c r="AG354" t="b">
        <v>0</v>
      </c>
      <c r="AH354" t="b">
        <v>0</v>
      </c>
      <c r="AI354" t="b">
        <v>0</v>
      </c>
      <c r="AK354" t="s">
        <v>497</v>
      </c>
      <c r="AL354" t="b">
        <v>0</v>
      </c>
      <c r="AM354" t="b">
        <v>0</v>
      </c>
    </row>
    <row r="355" spans="1:39">
      <c r="A355" t="s">
        <v>1063</v>
      </c>
      <c r="B355" t="b">
        <v>1</v>
      </c>
      <c r="C355">
        <v>102626</v>
      </c>
      <c r="D355" t="s">
        <v>318</v>
      </c>
      <c r="E355" t="s">
        <v>319</v>
      </c>
      <c r="F355" t="s">
        <v>488</v>
      </c>
      <c r="G355" t="s">
        <v>489</v>
      </c>
      <c r="H355" t="s">
        <v>46</v>
      </c>
      <c r="I355">
        <v>1</v>
      </c>
      <c r="J355" s="4">
        <v>38163</v>
      </c>
      <c r="K355" s="4">
        <v>38163</v>
      </c>
      <c r="L355" s="5">
        <v>0</v>
      </c>
      <c r="M355" s="5">
        <v>0</v>
      </c>
      <c r="N355">
        <v>55.555309999999999</v>
      </c>
      <c r="O355">
        <v>13.8569</v>
      </c>
      <c r="P355">
        <v>427893</v>
      </c>
      <c r="Q355">
        <v>6157182</v>
      </c>
      <c r="R355" t="s">
        <v>490</v>
      </c>
      <c r="S355">
        <v>140</v>
      </c>
      <c r="T355" t="s">
        <v>491</v>
      </c>
      <c r="U355" t="s">
        <v>492</v>
      </c>
      <c r="V355" t="s">
        <v>493</v>
      </c>
      <c r="W355" t="s">
        <v>494</v>
      </c>
      <c r="X355" t="s">
        <v>494</v>
      </c>
      <c r="Y355" t="s">
        <v>495</v>
      </c>
      <c r="Z355">
        <v>2</v>
      </c>
      <c r="AA355">
        <v>2</v>
      </c>
      <c r="AE355" t="s">
        <v>438</v>
      </c>
      <c r="AF355" t="s">
        <v>496</v>
      </c>
      <c r="AG355" t="b">
        <v>0</v>
      </c>
      <c r="AH355" t="b">
        <v>0</v>
      </c>
      <c r="AI355" t="b">
        <v>0</v>
      </c>
      <c r="AJ355" t="s">
        <v>1064</v>
      </c>
      <c r="AK355" t="s">
        <v>497</v>
      </c>
      <c r="AL355" t="b">
        <v>0</v>
      </c>
      <c r="AM355" t="b">
        <v>0</v>
      </c>
    </row>
    <row r="356" spans="1:39">
      <c r="A356" t="s">
        <v>1065</v>
      </c>
      <c r="B356" t="b">
        <v>1</v>
      </c>
      <c r="C356">
        <v>103055</v>
      </c>
      <c r="D356" t="s">
        <v>413</v>
      </c>
      <c r="E356" t="s">
        <v>414</v>
      </c>
      <c r="F356" t="s">
        <v>488</v>
      </c>
      <c r="G356" t="s">
        <v>489</v>
      </c>
      <c r="H356" t="s">
        <v>41</v>
      </c>
      <c r="I356">
        <v>1</v>
      </c>
      <c r="J356" s="4">
        <v>39627</v>
      </c>
      <c r="K356" s="4">
        <v>39627</v>
      </c>
      <c r="L356" s="5">
        <v>0.3888888888888889</v>
      </c>
      <c r="M356" s="5">
        <v>0.3888888888888889</v>
      </c>
      <c r="N356">
        <v>55.530740000000002</v>
      </c>
      <c r="O356">
        <v>13.879630000000001</v>
      </c>
      <c r="P356">
        <v>429282</v>
      </c>
      <c r="Q356">
        <v>6154424</v>
      </c>
      <c r="R356" t="s">
        <v>490</v>
      </c>
      <c r="S356">
        <v>310</v>
      </c>
      <c r="T356" t="s">
        <v>499</v>
      </c>
      <c r="U356" t="s">
        <v>492</v>
      </c>
      <c r="V356" t="s">
        <v>493</v>
      </c>
      <c r="W356" t="s">
        <v>494</v>
      </c>
      <c r="X356" t="s">
        <v>494</v>
      </c>
      <c r="Y356" t="s">
        <v>617</v>
      </c>
      <c r="Z356">
        <v>1</v>
      </c>
      <c r="AA356">
        <v>1</v>
      </c>
      <c r="AE356" t="s">
        <v>42</v>
      </c>
      <c r="AF356" t="s">
        <v>496</v>
      </c>
      <c r="AG356" t="b">
        <v>0</v>
      </c>
      <c r="AH356" t="b">
        <v>0</v>
      </c>
      <c r="AI356" t="b">
        <v>0</v>
      </c>
      <c r="AK356" t="s">
        <v>497</v>
      </c>
      <c r="AL356" t="b">
        <v>0</v>
      </c>
      <c r="AM356" t="b">
        <v>0</v>
      </c>
    </row>
    <row r="357" spans="1:39">
      <c r="A357" t="s">
        <v>1066</v>
      </c>
      <c r="B357" t="b">
        <v>1</v>
      </c>
      <c r="C357">
        <v>103020</v>
      </c>
      <c r="D357" t="s">
        <v>328</v>
      </c>
      <c r="E357" t="s">
        <v>329</v>
      </c>
      <c r="F357" t="s">
        <v>488</v>
      </c>
      <c r="G357" t="s">
        <v>489</v>
      </c>
      <c r="H357" t="s">
        <v>41</v>
      </c>
      <c r="I357">
        <v>1</v>
      </c>
      <c r="J357" s="4">
        <v>39866</v>
      </c>
      <c r="K357" s="4">
        <v>39866</v>
      </c>
      <c r="L357" s="5">
        <v>0.33333333333333331</v>
      </c>
      <c r="M357" s="5">
        <v>0.40625</v>
      </c>
      <c r="N357">
        <v>55.547759999999997</v>
      </c>
      <c r="O357">
        <v>13.86754</v>
      </c>
      <c r="P357">
        <v>428550</v>
      </c>
      <c r="Q357">
        <v>6156331</v>
      </c>
      <c r="R357" t="s">
        <v>490</v>
      </c>
      <c r="S357">
        <v>627</v>
      </c>
      <c r="T357" t="s">
        <v>541</v>
      </c>
      <c r="U357" t="s">
        <v>525</v>
      </c>
      <c r="V357" t="s">
        <v>504</v>
      </c>
      <c r="W357" t="s">
        <v>494</v>
      </c>
      <c r="X357" t="s">
        <v>494</v>
      </c>
      <c r="Y357" t="s">
        <v>534</v>
      </c>
      <c r="Z357">
        <v>1</v>
      </c>
      <c r="AA357">
        <v>1</v>
      </c>
      <c r="AE357" t="s">
        <v>42</v>
      </c>
      <c r="AF357" t="s">
        <v>496</v>
      </c>
      <c r="AG357" t="b">
        <v>0</v>
      </c>
      <c r="AH357" t="b">
        <v>0</v>
      </c>
      <c r="AI357" t="b">
        <v>0</v>
      </c>
      <c r="AK357" t="s">
        <v>497</v>
      </c>
      <c r="AL357" t="b">
        <v>0</v>
      </c>
      <c r="AM357" t="b">
        <v>0</v>
      </c>
    </row>
    <row r="358" spans="1:39">
      <c r="A358" t="s">
        <v>1067</v>
      </c>
      <c r="B358" t="b">
        <v>1</v>
      </c>
      <c r="C358">
        <v>102981</v>
      </c>
      <c r="D358" t="s">
        <v>356</v>
      </c>
      <c r="E358" t="s">
        <v>357</v>
      </c>
      <c r="F358" t="s">
        <v>488</v>
      </c>
      <c r="G358" t="s">
        <v>489</v>
      </c>
      <c r="H358" t="s">
        <v>85</v>
      </c>
      <c r="I358">
        <v>1</v>
      </c>
      <c r="J358" s="4">
        <v>39934</v>
      </c>
      <c r="K358" s="4">
        <v>39934</v>
      </c>
      <c r="L358" s="5">
        <v>0.41666666666666669</v>
      </c>
      <c r="M358" s="5">
        <v>0.41666666666666669</v>
      </c>
      <c r="N358">
        <v>55.555309999999999</v>
      </c>
      <c r="O358">
        <v>13.8569</v>
      </c>
      <c r="P358">
        <v>427893</v>
      </c>
      <c r="Q358">
        <v>6157182</v>
      </c>
      <c r="R358" t="s">
        <v>490</v>
      </c>
      <c r="S358">
        <v>140</v>
      </c>
      <c r="T358" t="s">
        <v>491</v>
      </c>
      <c r="U358" t="s">
        <v>492</v>
      </c>
      <c r="V358" t="s">
        <v>493</v>
      </c>
      <c r="W358" t="s">
        <v>494</v>
      </c>
      <c r="X358" t="s">
        <v>494</v>
      </c>
      <c r="Y358" t="s">
        <v>1068</v>
      </c>
      <c r="Z358">
        <v>2</v>
      </c>
      <c r="AA358">
        <v>2</v>
      </c>
      <c r="AE358" t="s">
        <v>538</v>
      </c>
      <c r="AF358" t="s">
        <v>496</v>
      </c>
      <c r="AG358" t="b">
        <v>0</v>
      </c>
      <c r="AH358" t="b">
        <v>0</v>
      </c>
      <c r="AI358" t="b">
        <v>0</v>
      </c>
      <c r="AK358" t="s">
        <v>497</v>
      </c>
      <c r="AL358" t="b">
        <v>0</v>
      </c>
      <c r="AM358" t="b">
        <v>0</v>
      </c>
    </row>
    <row r="359" spans="1:39">
      <c r="A359" t="s">
        <v>1069</v>
      </c>
      <c r="B359" t="b">
        <v>1</v>
      </c>
      <c r="C359">
        <v>102972</v>
      </c>
      <c r="D359" t="s">
        <v>55</v>
      </c>
      <c r="E359" t="s">
        <v>56</v>
      </c>
      <c r="F359" t="s">
        <v>488</v>
      </c>
      <c r="G359" t="s">
        <v>489</v>
      </c>
      <c r="H359" t="s">
        <v>41</v>
      </c>
      <c r="I359">
        <v>1</v>
      </c>
      <c r="J359" s="4">
        <v>39262</v>
      </c>
      <c r="K359" s="4">
        <v>39262</v>
      </c>
      <c r="L359" s="5">
        <v>0.73958333333333337</v>
      </c>
      <c r="M359" s="5">
        <v>0.75347222222222221</v>
      </c>
      <c r="N359">
        <v>55.54081</v>
      </c>
      <c r="O359">
        <v>13.95609</v>
      </c>
      <c r="P359">
        <v>434125</v>
      </c>
      <c r="Q359">
        <v>6155470</v>
      </c>
      <c r="R359" t="s">
        <v>490</v>
      </c>
      <c r="S359">
        <v>1500</v>
      </c>
      <c r="T359" t="s">
        <v>507</v>
      </c>
      <c r="U359" t="s">
        <v>508</v>
      </c>
      <c r="V359" t="s">
        <v>504</v>
      </c>
      <c r="W359" t="s">
        <v>494</v>
      </c>
      <c r="X359" t="s">
        <v>494</v>
      </c>
      <c r="Y359" t="s">
        <v>509</v>
      </c>
      <c r="Z359">
        <v>1</v>
      </c>
      <c r="AA359">
        <v>1</v>
      </c>
      <c r="AE359" t="s">
        <v>42</v>
      </c>
      <c r="AF359" t="s">
        <v>496</v>
      </c>
      <c r="AG359" t="b">
        <v>0</v>
      </c>
      <c r="AH359" t="b">
        <v>0</v>
      </c>
      <c r="AI359" t="b">
        <v>0</v>
      </c>
      <c r="AK359" t="s">
        <v>497</v>
      </c>
      <c r="AL359" t="b">
        <v>0</v>
      </c>
      <c r="AM359" t="b">
        <v>0</v>
      </c>
    </row>
    <row r="360" spans="1:39">
      <c r="A360" t="s">
        <v>1070</v>
      </c>
      <c r="B360" t="b">
        <v>1</v>
      </c>
      <c r="C360">
        <v>100049</v>
      </c>
      <c r="D360" t="s">
        <v>295</v>
      </c>
      <c r="E360" t="s">
        <v>296</v>
      </c>
      <c r="F360" t="s">
        <v>488</v>
      </c>
      <c r="G360" t="s">
        <v>489</v>
      </c>
      <c r="H360" t="s">
        <v>46</v>
      </c>
      <c r="I360">
        <v>1</v>
      </c>
      <c r="J360" s="4">
        <v>40272</v>
      </c>
      <c r="K360" s="4">
        <v>40272</v>
      </c>
      <c r="L360" s="5">
        <v>0</v>
      </c>
      <c r="M360" s="5">
        <v>0</v>
      </c>
      <c r="N360">
        <v>55.555309999999999</v>
      </c>
      <c r="O360">
        <v>13.8569</v>
      </c>
      <c r="P360">
        <v>427893</v>
      </c>
      <c r="Q360">
        <v>6157182</v>
      </c>
      <c r="R360" t="s">
        <v>490</v>
      </c>
      <c r="S360">
        <v>140</v>
      </c>
      <c r="T360" t="s">
        <v>491</v>
      </c>
      <c r="U360" t="s">
        <v>492</v>
      </c>
      <c r="V360" t="s">
        <v>493</v>
      </c>
      <c r="W360" t="s">
        <v>494</v>
      </c>
      <c r="X360" t="s">
        <v>494</v>
      </c>
      <c r="Y360" t="s">
        <v>495</v>
      </c>
      <c r="Z360">
        <v>2</v>
      </c>
      <c r="AA360">
        <v>2</v>
      </c>
      <c r="AD360" t="s">
        <v>527</v>
      </c>
      <c r="AE360" t="s">
        <v>51</v>
      </c>
      <c r="AF360" t="s">
        <v>496</v>
      </c>
      <c r="AG360" t="b">
        <v>0</v>
      </c>
      <c r="AH360" t="b">
        <v>0</v>
      </c>
      <c r="AI360" t="b">
        <v>0</v>
      </c>
      <c r="AK360" t="s">
        <v>497</v>
      </c>
      <c r="AL360" t="b">
        <v>0</v>
      </c>
      <c r="AM360" t="b">
        <v>0</v>
      </c>
    </row>
    <row r="361" spans="1:39">
      <c r="A361" t="s">
        <v>1071</v>
      </c>
      <c r="B361" t="b">
        <v>1</v>
      </c>
      <c r="C361">
        <v>103006</v>
      </c>
      <c r="D361" t="s">
        <v>342</v>
      </c>
      <c r="E361" t="s">
        <v>343</v>
      </c>
      <c r="F361" t="s">
        <v>488</v>
      </c>
      <c r="G361" t="s">
        <v>489</v>
      </c>
      <c r="H361" t="s">
        <v>41</v>
      </c>
      <c r="I361">
        <v>1</v>
      </c>
      <c r="J361" s="4">
        <v>41045</v>
      </c>
      <c r="K361" s="4">
        <v>41045</v>
      </c>
      <c r="L361" s="5">
        <v>0.22152777777777777</v>
      </c>
      <c r="M361" s="5">
        <v>0.22152777777777777</v>
      </c>
      <c r="N361">
        <v>55.54081</v>
      </c>
      <c r="O361">
        <v>13.95609</v>
      </c>
      <c r="P361">
        <v>434125</v>
      </c>
      <c r="Q361">
        <v>6155470</v>
      </c>
      <c r="R361" t="s">
        <v>490</v>
      </c>
      <c r="S361">
        <v>1500</v>
      </c>
      <c r="T361" t="s">
        <v>507</v>
      </c>
      <c r="U361" t="s">
        <v>508</v>
      </c>
      <c r="V361" t="s">
        <v>504</v>
      </c>
      <c r="W361" t="s">
        <v>494</v>
      </c>
      <c r="X361" t="s">
        <v>494</v>
      </c>
      <c r="Y361" t="s">
        <v>1020</v>
      </c>
      <c r="Z361">
        <v>1</v>
      </c>
      <c r="AA361">
        <v>1</v>
      </c>
      <c r="AE361" t="s">
        <v>42</v>
      </c>
      <c r="AF361" t="s">
        <v>496</v>
      </c>
      <c r="AG361" t="b">
        <v>0</v>
      </c>
      <c r="AH361" t="b">
        <v>0</v>
      </c>
      <c r="AI361" t="b">
        <v>0</v>
      </c>
      <c r="AK361" t="s">
        <v>497</v>
      </c>
      <c r="AL361" t="b">
        <v>0</v>
      </c>
      <c r="AM361" t="b">
        <v>0</v>
      </c>
    </row>
    <row r="362" spans="1:39">
      <c r="A362" t="s">
        <v>1072</v>
      </c>
      <c r="B362" t="b">
        <v>1</v>
      </c>
      <c r="C362">
        <v>103055</v>
      </c>
      <c r="D362" t="s">
        <v>413</v>
      </c>
      <c r="E362" t="s">
        <v>414</v>
      </c>
      <c r="F362" t="s">
        <v>488</v>
      </c>
      <c r="G362" t="s">
        <v>489</v>
      </c>
      <c r="H362" t="s">
        <v>41</v>
      </c>
      <c r="I362">
        <v>1</v>
      </c>
      <c r="J362" s="4">
        <v>40299</v>
      </c>
      <c r="K362" s="4">
        <v>40299</v>
      </c>
      <c r="L362" s="5">
        <v>0</v>
      </c>
      <c r="M362" s="5">
        <v>0</v>
      </c>
      <c r="N362">
        <v>55.524630000000002</v>
      </c>
      <c r="O362">
        <v>13.906879999999999</v>
      </c>
      <c r="P362">
        <v>430992</v>
      </c>
      <c r="Q362">
        <v>6153717</v>
      </c>
      <c r="R362" t="s">
        <v>490</v>
      </c>
      <c r="S362">
        <v>500</v>
      </c>
      <c r="T362" t="s">
        <v>545</v>
      </c>
      <c r="U362" t="s">
        <v>525</v>
      </c>
      <c r="V362" t="s">
        <v>504</v>
      </c>
      <c r="W362" t="s">
        <v>494</v>
      </c>
      <c r="X362" t="s">
        <v>494</v>
      </c>
      <c r="Y362" t="s">
        <v>640</v>
      </c>
      <c r="AE362" t="s">
        <v>42</v>
      </c>
      <c r="AF362" t="s">
        <v>496</v>
      </c>
      <c r="AG362" t="b">
        <v>0</v>
      </c>
      <c r="AH362" t="b">
        <v>0</v>
      </c>
      <c r="AI362" t="b">
        <v>0</v>
      </c>
      <c r="AK362" t="s">
        <v>497</v>
      </c>
      <c r="AL362" t="b">
        <v>0</v>
      </c>
      <c r="AM362" t="b">
        <v>0</v>
      </c>
    </row>
    <row r="363" spans="1:39">
      <c r="A363" t="s">
        <v>1073</v>
      </c>
      <c r="B363" t="b">
        <v>1</v>
      </c>
      <c r="C363">
        <v>102990</v>
      </c>
      <c r="D363" t="s">
        <v>39</v>
      </c>
      <c r="E363" t="s">
        <v>40</v>
      </c>
      <c r="F363" t="s">
        <v>488</v>
      </c>
      <c r="G363" t="s">
        <v>489</v>
      </c>
      <c r="H363" t="s">
        <v>41</v>
      </c>
      <c r="I363">
        <v>1</v>
      </c>
      <c r="J363" s="4">
        <v>40342</v>
      </c>
      <c r="K363" s="4">
        <v>40342</v>
      </c>
      <c r="L363" s="5">
        <v>0.52083333333333337</v>
      </c>
      <c r="M363" s="5">
        <v>0.52083333333333337</v>
      </c>
      <c r="N363">
        <v>55.527650000000001</v>
      </c>
      <c r="O363">
        <v>13.900119999999999</v>
      </c>
      <c r="P363">
        <v>430570</v>
      </c>
      <c r="Q363">
        <v>6154060</v>
      </c>
      <c r="R363" t="s">
        <v>490</v>
      </c>
      <c r="S363">
        <v>250</v>
      </c>
      <c r="T363" t="s">
        <v>578</v>
      </c>
      <c r="U363" t="s">
        <v>525</v>
      </c>
      <c r="V363" t="s">
        <v>504</v>
      </c>
      <c r="W363" t="s">
        <v>494</v>
      </c>
      <c r="X363" t="s">
        <v>494</v>
      </c>
      <c r="Y363" t="s">
        <v>1074</v>
      </c>
      <c r="Z363">
        <v>1</v>
      </c>
      <c r="AA363">
        <v>1</v>
      </c>
      <c r="AE363" t="s">
        <v>42</v>
      </c>
      <c r="AF363" t="s">
        <v>496</v>
      </c>
      <c r="AG363" t="b">
        <v>0</v>
      </c>
      <c r="AH363" t="b">
        <v>0</v>
      </c>
      <c r="AI363" t="b">
        <v>0</v>
      </c>
      <c r="AK363" t="s">
        <v>497</v>
      </c>
      <c r="AL363" t="b">
        <v>0</v>
      </c>
      <c r="AM363" t="b">
        <v>0</v>
      </c>
    </row>
    <row r="364" spans="1:39">
      <c r="A364" t="s">
        <v>1075</v>
      </c>
      <c r="B364" t="b">
        <v>1</v>
      </c>
      <c r="C364">
        <v>103055</v>
      </c>
      <c r="D364" t="s">
        <v>413</v>
      </c>
      <c r="E364" t="s">
        <v>414</v>
      </c>
      <c r="F364" t="s">
        <v>488</v>
      </c>
      <c r="G364" t="s">
        <v>489</v>
      </c>
      <c r="H364" t="s">
        <v>41</v>
      </c>
      <c r="I364">
        <v>1</v>
      </c>
      <c r="J364" s="4">
        <v>41029</v>
      </c>
      <c r="K364" s="4">
        <v>41029</v>
      </c>
      <c r="L364" s="5">
        <v>0.54513888888888884</v>
      </c>
      <c r="M364" s="5">
        <v>0.59027777777777779</v>
      </c>
      <c r="N364">
        <v>55.530740000000002</v>
      </c>
      <c r="O364">
        <v>13.879630000000001</v>
      </c>
      <c r="P364">
        <v>429282</v>
      </c>
      <c r="Q364">
        <v>6154424</v>
      </c>
      <c r="R364" t="s">
        <v>490</v>
      </c>
      <c r="S364">
        <v>310</v>
      </c>
      <c r="T364" t="s">
        <v>499</v>
      </c>
      <c r="U364" t="s">
        <v>492</v>
      </c>
      <c r="V364" t="s">
        <v>493</v>
      </c>
      <c r="W364" t="s">
        <v>494</v>
      </c>
      <c r="X364" t="s">
        <v>494</v>
      </c>
      <c r="Y364" t="s">
        <v>685</v>
      </c>
      <c r="Z364">
        <v>2</v>
      </c>
      <c r="AA364">
        <v>2</v>
      </c>
      <c r="AE364" t="s">
        <v>538</v>
      </c>
      <c r="AF364" t="s">
        <v>496</v>
      </c>
      <c r="AG364" t="b">
        <v>0</v>
      </c>
      <c r="AH364" t="b">
        <v>0</v>
      </c>
      <c r="AI364" t="b">
        <v>0</v>
      </c>
      <c r="AK364" t="s">
        <v>497</v>
      </c>
      <c r="AL364" t="b">
        <v>0</v>
      </c>
      <c r="AM364" t="b">
        <v>0</v>
      </c>
    </row>
    <row r="365" spans="1:39">
      <c r="A365" t="s">
        <v>1076</v>
      </c>
      <c r="B365" t="b">
        <v>1</v>
      </c>
      <c r="C365">
        <v>102993</v>
      </c>
      <c r="D365" t="s">
        <v>384</v>
      </c>
      <c r="E365" t="s">
        <v>385</v>
      </c>
      <c r="F365" t="s">
        <v>488</v>
      </c>
      <c r="G365" t="s">
        <v>489</v>
      </c>
      <c r="H365" t="s">
        <v>85</v>
      </c>
      <c r="I365">
        <v>1</v>
      </c>
      <c r="J365" s="4">
        <v>41758</v>
      </c>
      <c r="K365" s="4">
        <v>41758</v>
      </c>
      <c r="L365" s="5">
        <v>0</v>
      </c>
      <c r="M365" s="5">
        <v>0</v>
      </c>
      <c r="N365">
        <v>55.54081</v>
      </c>
      <c r="O365">
        <v>13.95609</v>
      </c>
      <c r="P365">
        <v>434125</v>
      </c>
      <c r="Q365">
        <v>6155470</v>
      </c>
      <c r="R365" t="s">
        <v>490</v>
      </c>
      <c r="S365">
        <v>1500</v>
      </c>
      <c r="T365" t="s">
        <v>507</v>
      </c>
      <c r="U365" t="s">
        <v>508</v>
      </c>
      <c r="V365" t="s">
        <v>504</v>
      </c>
      <c r="W365" t="s">
        <v>494</v>
      </c>
      <c r="X365" t="s">
        <v>494</v>
      </c>
      <c r="Y365" t="s">
        <v>581</v>
      </c>
      <c r="Z365">
        <v>1</v>
      </c>
      <c r="AA365">
        <v>1</v>
      </c>
      <c r="AD365" t="s">
        <v>510</v>
      </c>
      <c r="AE365" t="s">
        <v>42</v>
      </c>
      <c r="AF365" t="s">
        <v>496</v>
      </c>
      <c r="AG365" t="b">
        <v>0</v>
      </c>
      <c r="AH365" t="b">
        <v>0</v>
      </c>
      <c r="AI365" t="b">
        <v>0</v>
      </c>
      <c r="AK365" t="s">
        <v>497</v>
      </c>
      <c r="AL365" t="b">
        <v>0</v>
      </c>
      <c r="AM365" t="b">
        <v>0</v>
      </c>
    </row>
    <row r="366" spans="1:39">
      <c r="A366" t="s">
        <v>1077</v>
      </c>
      <c r="B366" t="b">
        <v>1</v>
      </c>
      <c r="C366">
        <v>102990</v>
      </c>
      <c r="D366" t="s">
        <v>39</v>
      </c>
      <c r="E366" t="s">
        <v>40</v>
      </c>
      <c r="F366" t="s">
        <v>488</v>
      </c>
      <c r="G366" t="s">
        <v>489</v>
      </c>
      <c r="H366" t="s">
        <v>41</v>
      </c>
      <c r="I366">
        <v>1</v>
      </c>
      <c r="J366" s="4">
        <v>41099</v>
      </c>
      <c r="K366" s="4">
        <v>41099</v>
      </c>
      <c r="L366" s="5">
        <v>0.3125</v>
      </c>
      <c r="M366" s="5">
        <v>0.36805555555555558</v>
      </c>
      <c r="N366">
        <v>55.530740000000002</v>
      </c>
      <c r="O366">
        <v>13.879630000000001</v>
      </c>
      <c r="P366">
        <v>429282</v>
      </c>
      <c r="Q366">
        <v>6154424</v>
      </c>
      <c r="R366" t="s">
        <v>490</v>
      </c>
      <c r="S366">
        <v>310</v>
      </c>
      <c r="T366" t="s">
        <v>499</v>
      </c>
      <c r="U366" t="s">
        <v>492</v>
      </c>
      <c r="V366" t="s">
        <v>493</v>
      </c>
      <c r="W366" t="s">
        <v>494</v>
      </c>
      <c r="X366" t="s">
        <v>494</v>
      </c>
      <c r="Y366" t="s">
        <v>822</v>
      </c>
      <c r="Z366">
        <v>1</v>
      </c>
      <c r="AA366">
        <v>1</v>
      </c>
      <c r="AE366" t="s">
        <v>42</v>
      </c>
      <c r="AF366" t="s">
        <v>496</v>
      </c>
      <c r="AG366" t="b">
        <v>0</v>
      </c>
      <c r="AH366" t="b">
        <v>0</v>
      </c>
      <c r="AI366" t="b">
        <v>0</v>
      </c>
      <c r="AK366" t="s">
        <v>497</v>
      </c>
      <c r="AL366" t="b">
        <v>0</v>
      </c>
      <c r="AM366" t="b">
        <v>0</v>
      </c>
    </row>
    <row r="367" spans="1:39">
      <c r="A367" t="s">
        <v>1078</v>
      </c>
      <c r="B367" t="b">
        <v>1</v>
      </c>
      <c r="C367">
        <v>103037</v>
      </c>
      <c r="D367" t="s">
        <v>368</v>
      </c>
      <c r="E367" t="s">
        <v>369</v>
      </c>
      <c r="F367" t="s">
        <v>488</v>
      </c>
      <c r="G367" t="s">
        <v>489</v>
      </c>
      <c r="H367" t="s">
        <v>85</v>
      </c>
      <c r="I367">
        <v>1</v>
      </c>
      <c r="J367" s="4">
        <v>41777</v>
      </c>
      <c r="K367" s="4">
        <v>41777</v>
      </c>
      <c r="L367" s="5">
        <v>0</v>
      </c>
      <c r="M367" s="5">
        <v>0</v>
      </c>
      <c r="N367">
        <v>55.555309999999999</v>
      </c>
      <c r="O367">
        <v>13.8569</v>
      </c>
      <c r="P367">
        <v>427893</v>
      </c>
      <c r="Q367">
        <v>6157182</v>
      </c>
      <c r="R367" t="s">
        <v>490</v>
      </c>
      <c r="S367">
        <v>140</v>
      </c>
      <c r="T367" t="s">
        <v>491</v>
      </c>
      <c r="U367" t="s">
        <v>492</v>
      </c>
      <c r="V367" t="s">
        <v>493</v>
      </c>
      <c r="W367" t="s">
        <v>494</v>
      </c>
      <c r="X367" t="s">
        <v>494</v>
      </c>
      <c r="Y367" t="s">
        <v>495</v>
      </c>
      <c r="Z367">
        <v>12</v>
      </c>
      <c r="AA367">
        <v>12</v>
      </c>
      <c r="AD367" t="s">
        <v>527</v>
      </c>
      <c r="AE367" t="s">
        <v>884</v>
      </c>
      <c r="AF367" t="s">
        <v>496</v>
      </c>
      <c r="AG367" t="b">
        <v>0</v>
      </c>
      <c r="AH367" t="b">
        <v>0</v>
      </c>
      <c r="AI367" t="b">
        <v>0</v>
      </c>
      <c r="AK367" t="s">
        <v>497</v>
      </c>
      <c r="AL367" t="b">
        <v>0</v>
      </c>
      <c r="AM367" t="b">
        <v>0</v>
      </c>
    </row>
    <row r="368" spans="1:39">
      <c r="A368" t="s">
        <v>1079</v>
      </c>
      <c r="B368" t="b">
        <v>1</v>
      </c>
      <c r="C368">
        <v>100044</v>
      </c>
      <c r="D368" t="s">
        <v>142</v>
      </c>
      <c r="E368" t="s">
        <v>143</v>
      </c>
      <c r="F368" t="s">
        <v>488</v>
      </c>
      <c r="G368" t="s">
        <v>489</v>
      </c>
      <c r="H368" t="s">
        <v>81</v>
      </c>
      <c r="I368">
        <v>1</v>
      </c>
      <c r="J368" s="4">
        <v>41419</v>
      </c>
      <c r="K368" s="4">
        <v>41426</v>
      </c>
      <c r="L368" s="5">
        <v>0</v>
      </c>
      <c r="M368" s="5">
        <v>0</v>
      </c>
      <c r="N368">
        <v>55.527650000000001</v>
      </c>
      <c r="O368">
        <v>13.900119999999999</v>
      </c>
      <c r="P368">
        <v>430570</v>
      </c>
      <c r="Q368">
        <v>6154060</v>
      </c>
      <c r="R368" t="s">
        <v>490</v>
      </c>
      <c r="S368">
        <v>250</v>
      </c>
      <c r="T368" t="s">
        <v>578</v>
      </c>
      <c r="U368" t="s">
        <v>525</v>
      </c>
      <c r="V368" t="s">
        <v>504</v>
      </c>
      <c r="W368" t="s">
        <v>494</v>
      </c>
      <c r="X368" t="s">
        <v>494</v>
      </c>
      <c r="Y368" t="s">
        <v>1080</v>
      </c>
      <c r="Z368">
        <v>1</v>
      </c>
      <c r="AA368">
        <v>1</v>
      </c>
      <c r="AD368" t="s">
        <v>510</v>
      </c>
      <c r="AE368" t="s">
        <v>57</v>
      </c>
      <c r="AF368" t="s">
        <v>601</v>
      </c>
      <c r="AG368" t="b">
        <v>0</v>
      </c>
      <c r="AH368" t="b">
        <v>0</v>
      </c>
      <c r="AI368" t="b">
        <v>0</v>
      </c>
      <c r="AK368" t="s">
        <v>497</v>
      </c>
      <c r="AL368" t="b">
        <v>0</v>
      </c>
      <c r="AM368" t="b">
        <v>0</v>
      </c>
    </row>
    <row r="369" spans="1:39">
      <c r="A369" t="s">
        <v>1081</v>
      </c>
      <c r="B369" t="b">
        <v>1</v>
      </c>
      <c r="C369">
        <v>102990</v>
      </c>
      <c r="D369" t="s">
        <v>39</v>
      </c>
      <c r="E369" t="s">
        <v>40</v>
      </c>
      <c r="F369" t="s">
        <v>488</v>
      </c>
      <c r="G369" t="s">
        <v>489</v>
      </c>
      <c r="H369" t="s">
        <v>41</v>
      </c>
      <c r="I369">
        <v>1</v>
      </c>
      <c r="J369" s="4">
        <v>41035</v>
      </c>
      <c r="K369" s="4">
        <v>41035</v>
      </c>
      <c r="L369" s="5">
        <v>0.25</v>
      </c>
      <c r="M369" s="5">
        <v>0.29166666666666669</v>
      </c>
      <c r="N369">
        <v>55.525739999999999</v>
      </c>
      <c r="O369">
        <v>13.93807</v>
      </c>
      <c r="P369">
        <v>432962</v>
      </c>
      <c r="Q369">
        <v>6153810</v>
      </c>
      <c r="R369" t="s">
        <v>490</v>
      </c>
      <c r="S369">
        <v>1981</v>
      </c>
      <c r="T369" t="s">
        <v>524</v>
      </c>
      <c r="U369" t="s">
        <v>525</v>
      </c>
      <c r="V369" t="s">
        <v>504</v>
      </c>
      <c r="W369" t="s">
        <v>494</v>
      </c>
      <c r="X369" t="s">
        <v>494</v>
      </c>
      <c r="Y369" t="s">
        <v>581</v>
      </c>
      <c r="Z369">
        <v>3</v>
      </c>
      <c r="AA369">
        <v>3</v>
      </c>
      <c r="AE369" t="s">
        <v>42</v>
      </c>
      <c r="AF369" t="s">
        <v>496</v>
      </c>
      <c r="AG369" t="b">
        <v>0</v>
      </c>
      <c r="AH369" t="b">
        <v>0</v>
      </c>
      <c r="AI369" t="b">
        <v>0</v>
      </c>
      <c r="AK369" t="s">
        <v>497</v>
      </c>
      <c r="AL369" t="b">
        <v>0</v>
      </c>
      <c r="AM369" t="b">
        <v>0</v>
      </c>
    </row>
    <row r="370" spans="1:39">
      <c r="A370" t="s">
        <v>1082</v>
      </c>
      <c r="B370" t="b">
        <v>1</v>
      </c>
      <c r="C370">
        <v>102993</v>
      </c>
      <c r="D370" t="s">
        <v>384</v>
      </c>
      <c r="E370" t="s">
        <v>385</v>
      </c>
      <c r="F370" t="s">
        <v>488</v>
      </c>
      <c r="G370" t="s">
        <v>489</v>
      </c>
      <c r="H370" t="s">
        <v>85</v>
      </c>
      <c r="I370">
        <v>1</v>
      </c>
      <c r="J370" s="4">
        <v>42927</v>
      </c>
      <c r="K370" s="4">
        <v>42927</v>
      </c>
      <c r="L370" s="5">
        <v>0.66666666666666663</v>
      </c>
      <c r="M370" s="5">
        <v>0.66666666666666663</v>
      </c>
      <c r="N370">
        <v>55.54081</v>
      </c>
      <c r="O370">
        <v>13.95609</v>
      </c>
      <c r="P370">
        <v>434125</v>
      </c>
      <c r="Q370">
        <v>6155470</v>
      </c>
      <c r="R370" t="s">
        <v>490</v>
      </c>
      <c r="S370">
        <v>1500</v>
      </c>
      <c r="T370" t="s">
        <v>507</v>
      </c>
      <c r="U370" t="s">
        <v>508</v>
      </c>
      <c r="V370" t="s">
        <v>504</v>
      </c>
      <c r="W370" t="s">
        <v>494</v>
      </c>
      <c r="X370" t="s">
        <v>494</v>
      </c>
      <c r="Y370" t="s">
        <v>536</v>
      </c>
      <c r="Z370">
        <v>2</v>
      </c>
      <c r="AA370">
        <v>2</v>
      </c>
      <c r="AD370" t="s">
        <v>527</v>
      </c>
      <c r="AE370" t="s">
        <v>51</v>
      </c>
      <c r="AF370" t="s">
        <v>496</v>
      </c>
      <c r="AG370" t="b">
        <v>0</v>
      </c>
      <c r="AH370" t="b">
        <v>0</v>
      </c>
      <c r="AI370" t="b">
        <v>0</v>
      </c>
      <c r="AK370" t="s">
        <v>497</v>
      </c>
      <c r="AL370" t="b">
        <v>0</v>
      </c>
      <c r="AM370" t="b">
        <v>0</v>
      </c>
    </row>
    <row r="371" spans="1:39">
      <c r="A371" t="s">
        <v>1083</v>
      </c>
      <c r="B371" t="b">
        <v>1</v>
      </c>
      <c r="C371">
        <v>103055</v>
      </c>
      <c r="D371" t="s">
        <v>413</v>
      </c>
      <c r="E371" t="s">
        <v>414</v>
      </c>
      <c r="F371" t="s">
        <v>488</v>
      </c>
      <c r="G371" t="s">
        <v>489</v>
      </c>
      <c r="H371" t="s">
        <v>41</v>
      </c>
      <c r="I371">
        <v>1</v>
      </c>
      <c r="J371" s="4">
        <v>43261</v>
      </c>
      <c r="K371" s="4">
        <v>43261</v>
      </c>
      <c r="L371" s="5">
        <v>0.36458333333333331</v>
      </c>
      <c r="M371" s="5">
        <v>0.39583333333333331</v>
      </c>
      <c r="N371">
        <v>55.526490000000003</v>
      </c>
      <c r="O371">
        <v>13.9009</v>
      </c>
      <c r="P371">
        <v>430617</v>
      </c>
      <c r="Q371">
        <v>6153930</v>
      </c>
      <c r="R371" t="s">
        <v>490</v>
      </c>
      <c r="S371">
        <v>100</v>
      </c>
      <c r="T371" t="s">
        <v>1084</v>
      </c>
      <c r="U371" t="s">
        <v>525</v>
      </c>
      <c r="V371" t="s">
        <v>504</v>
      </c>
      <c r="W371" t="s">
        <v>494</v>
      </c>
      <c r="X371" t="s">
        <v>494</v>
      </c>
      <c r="Y371" t="s">
        <v>1085</v>
      </c>
      <c r="Z371">
        <v>1</v>
      </c>
      <c r="AA371">
        <v>1</v>
      </c>
      <c r="AE371" t="s">
        <v>42</v>
      </c>
      <c r="AF371" t="s">
        <v>496</v>
      </c>
      <c r="AG371" t="b">
        <v>0</v>
      </c>
      <c r="AH371" t="b">
        <v>0</v>
      </c>
      <c r="AI371" t="b">
        <v>0</v>
      </c>
      <c r="AK371" t="s">
        <v>497</v>
      </c>
      <c r="AL371" t="b">
        <v>0</v>
      </c>
      <c r="AM371" t="b">
        <v>0</v>
      </c>
    </row>
    <row r="372" spans="1:39">
      <c r="A372" t="s">
        <v>1086</v>
      </c>
      <c r="B372" t="b">
        <v>1</v>
      </c>
      <c r="C372">
        <v>103006</v>
      </c>
      <c r="D372" t="s">
        <v>342</v>
      </c>
      <c r="E372" t="s">
        <v>343</v>
      </c>
      <c r="F372" t="s">
        <v>488</v>
      </c>
      <c r="G372" t="s">
        <v>489</v>
      </c>
      <c r="H372" t="s">
        <v>41</v>
      </c>
      <c r="I372">
        <v>1</v>
      </c>
      <c r="J372" s="4">
        <v>42540</v>
      </c>
      <c r="K372" s="4">
        <v>42540</v>
      </c>
      <c r="L372" s="5">
        <v>0.375</v>
      </c>
      <c r="M372" s="5">
        <v>0.375</v>
      </c>
      <c r="N372">
        <v>55.54806</v>
      </c>
      <c r="O372">
        <v>13.949949999999999</v>
      </c>
      <c r="P372">
        <v>433750</v>
      </c>
      <c r="Q372">
        <v>6156283</v>
      </c>
      <c r="R372" t="s">
        <v>490</v>
      </c>
      <c r="S372">
        <v>50</v>
      </c>
      <c r="T372" t="s">
        <v>570</v>
      </c>
      <c r="U372" t="s">
        <v>508</v>
      </c>
      <c r="V372" t="s">
        <v>504</v>
      </c>
      <c r="W372" t="s">
        <v>494</v>
      </c>
      <c r="X372" t="s">
        <v>494</v>
      </c>
      <c r="Y372" t="s">
        <v>536</v>
      </c>
      <c r="Z372">
        <v>1</v>
      </c>
      <c r="AA372">
        <v>1</v>
      </c>
      <c r="AE372" t="s">
        <v>42</v>
      </c>
      <c r="AF372" t="s">
        <v>496</v>
      </c>
      <c r="AG372" t="b">
        <v>0</v>
      </c>
      <c r="AH372" t="b">
        <v>0</v>
      </c>
      <c r="AI372" t="b">
        <v>0</v>
      </c>
      <c r="AK372" t="s">
        <v>497</v>
      </c>
      <c r="AL372" t="b">
        <v>0</v>
      </c>
      <c r="AM372" t="b">
        <v>0</v>
      </c>
    </row>
    <row r="373" spans="1:39">
      <c r="A373" t="s">
        <v>1087</v>
      </c>
      <c r="B373" t="b">
        <v>1</v>
      </c>
      <c r="C373">
        <v>100049</v>
      </c>
      <c r="D373" t="s">
        <v>295</v>
      </c>
      <c r="E373" t="s">
        <v>296</v>
      </c>
      <c r="F373" t="s">
        <v>488</v>
      </c>
      <c r="G373" t="s">
        <v>489</v>
      </c>
      <c r="H373" t="s">
        <v>46</v>
      </c>
      <c r="I373">
        <v>1</v>
      </c>
      <c r="J373" s="4">
        <v>42888</v>
      </c>
      <c r="K373" s="4">
        <v>42888</v>
      </c>
      <c r="L373" s="5">
        <v>0.66666666666666663</v>
      </c>
      <c r="M373" s="5">
        <v>0.78125</v>
      </c>
      <c r="N373">
        <v>55.530740000000002</v>
      </c>
      <c r="O373">
        <v>13.879630000000001</v>
      </c>
      <c r="P373">
        <v>429282</v>
      </c>
      <c r="Q373">
        <v>6154424</v>
      </c>
      <c r="R373" t="s">
        <v>490</v>
      </c>
      <c r="S373">
        <v>310</v>
      </c>
      <c r="T373" t="s">
        <v>499</v>
      </c>
      <c r="U373" t="s">
        <v>492</v>
      </c>
      <c r="V373" t="s">
        <v>493</v>
      </c>
      <c r="W373" t="s">
        <v>494</v>
      </c>
      <c r="X373" t="s">
        <v>494</v>
      </c>
      <c r="Y373" t="s">
        <v>969</v>
      </c>
      <c r="Z373">
        <v>1</v>
      </c>
      <c r="AA373">
        <v>1</v>
      </c>
      <c r="AE373" t="s">
        <v>42</v>
      </c>
      <c r="AF373" t="s">
        <v>496</v>
      </c>
      <c r="AG373" t="b">
        <v>0</v>
      </c>
      <c r="AH373" t="b">
        <v>0</v>
      </c>
      <c r="AI373" t="b">
        <v>0</v>
      </c>
      <c r="AK373" t="s">
        <v>497</v>
      </c>
      <c r="AL373" t="b">
        <v>0</v>
      </c>
      <c r="AM373" t="b">
        <v>0</v>
      </c>
    </row>
    <row r="374" spans="1:39">
      <c r="A374" t="s">
        <v>1088</v>
      </c>
      <c r="B374" t="b">
        <v>1</v>
      </c>
      <c r="C374">
        <v>102990</v>
      </c>
      <c r="D374" t="s">
        <v>39</v>
      </c>
      <c r="E374" t="s">
        <v>40</v>
      </c>
      <c r="F374" t="s">
        <v>488</v>
      </c>
      <c r="G374" t="s">
        <v>489</v>
      </c>
      <c r="H374" t="s">
        <v>41</v>
      </c>
      <c r="I374">
        <v>1</v>
      </c>
      <c r="J374" s="4">
        <v>43953</v>
      </c>
      <c r="K374" s="4">
        <v>43953</v>
      </c>
      <c r="L374" s="5">
        <v>0.57638888888888884</v>
      </c>
      <c r="M374" s="5">
        <v>0.59375</v>
      </c>
      <c r="N374">
        <v>55.51511</v>
      </c>
      <c r="O374">
        <v>13.915900000000001</v>
      </c>
      <c r="P374">
        <v>431544</v>
      </c>
      <c r="Q374">
        <v>6152649</v>
      </c>
      <c r="R374" t="s">
        <v>490</v>
      </c>
      <c r="S374">
        <v>150</v>
      </c>
      <c r="T374" t="s">
        <v>613</v>
      </c>
      <c r="U374" t="s">
        <v>525</v>
      </c>
      <c r="V374" t="s">
        <v>504</v>
      </c>
      <c r="W374" t="s">
        <v>494</v>
      </c>
      <c r="X374" t="s">
        <v>494</v>
      </c>
      <c r="Y374" t="s">
        <v>536</v>
      </c>
      <c r="Z374">
        <v>1</v>
      </c>
      <c r="AA374">
        <v>1</v>
      </c>
      <c r="AE374" t="s">
        <v>42</v>
      </c>
      <c r="AF374" t="s">
        <v>496</v>
      </c>
      <c r="AG374" t="b">
        <v>0</v>
      </c>
      <c r="AH374" t="b">
        <v>0</v>
      </c>
      <c r="AI374" t="b">
        <v>0</v>
      </c>
      <c r="AK374" t="s">
        <v>497</v>
      </c>
      <c r="AL374" t="b">
        <v>0</v>
      </c>
      <c r="AM374" t="b">
        <v>0</v>
      </c>
    </row>
    <row r="375" spans="1:39">
      <c r="A375" t="s">
        <v>1089</v>
      </c>
      <c r="B375" t="b">
        <v>1</v>
      </c>
      <c r="C375">
        <v>103020</v>
      </c>
      <c r="D375" t="s">
        <v>328</v>
      </c>
      <c r="E375" t="s">
        <v>329</v>
      </c>
      <c r="F375" t="s">
        <v>488</v>
      </c>
      <c r="G375" t="s">
        <v>489</v>
      </c>
      <c r="H375" t="s">
        <v>41</v>
      </c>
      <c r="I375">
        <v>1</v>
      </c>
      <c r="J375" s="4">
        <v>43884</v>
      </c>
      <c r="K375" s="4">
        <v>43884</v>
      </c>
      <c r="L375" s="5">
        <v>0.51388888888888884</v>
      </c>
      <c r="M375" s="5">
        <v>0.57499999999999996</v>
      </c>
      <c r="N375">
        <v>55.530740000000002</v>
      </c>
      <c r="O375">
        <v>13.879630000000001</v>
      </c>
      <c r="P375">
        <v>429282</v>
      </c>
      <c r="Q375">
        <v>6154424</v>
      </c>
      <c r="R375" t="s">
        <v>490</v>
      </c>
      <c r="S375">
        <v>310</v>
      </c>
      <c r="T375" t="s">
        <v>499</v>
      </c>
      <c r="U375" t="s">
        <v>492</v>
      </c>
      <c r="V375" t="s">
        <v>493</v>
      </c>
      <c r="W375" t="s">
        <v>494</v>
      </c>
      <c r="X375" t="s">
        <v>494</v>
      </c>
      <c r="Y375" t="s">
        <v>1090</v>
      </c>
      <c r="Z375">
        <v>1</v>
      </c>
      <c r="AA375">
        <v>1</v>
      </c>
      <c r="AE375" t="s">
        <v>42</v>
      </c>
      <c r="AF375" t="s">
        <v>496</v>
      </c>
      <c r="AG375" t="b">
        <v>0</v>
      </c>
      <c r="AH375" t="b">
        <v>0</v>
      </c>
      <c r="AI375" t="b">
        <v>0</v>
      </c>
      <c r="AK375" t="s">
        <v>497</v>
      </c>
      <c r="AL375" t="b">
        <v>0</v>
      </c>
      <c r="AM375" t="b">
        <v>0</v>
      </c>
    </row>
    <row r="376" spans="1:39">
      <c r="A376" t="s">
        <v>1091</v>
      </c>
      <c r="B376" t="b">
        <v>1</v>
      </c>
      <c r="C376">
        <v>103020</v>
      </c>
      <c r="D376" t="s">
        <v>328</v>
      </c>
      <c r="E376" t="s">
        <v>329</v>
      </c>
      <c r="F376" t="s">
        <v>488</v>
      </c>
      <c r="G376" t="s">
        <v>489</v>
      </c>
      <c r="H376" t="s">
        <v>41</v>
      </c>
      <c r="I376">
        <v>1</v>
      </c>
      <c r="J376" s="4">
        <v>43587</v>
      </c>
      <c r="K376" s="4">
        <v>43587</v>
      </c>
      <c r="L376" s="5">
        <v>0.54166666666666663</v>
      </c>
      <c r="M376" s="5">
        <v>0.5625</v>
      </c>
      <c r="N376">
        <v>55.5351</v>
      </c>
      <c r="O376">
        <v>13.95862</v>
      </c>
      <c r="P376">
        <v>434276</v>
      </c>
      <c r="Q376">
        <v>6154832</v>
      </c>
      <c r="R376" t="s">
        <v>490</v>
      </c>
      <c r="S376">
        <v>400</v>
      </c>
      <c r="T376" t="s">
        <v>563</v>
      </c>
      <c r="U376" t="s">
        <v>508</v>
      </c>
      <c r="V376" t="s">
        <v>504</v>
      </c>
      <c r="W376" t="s">
        <v>494</v>
      </c>
      <c r="X376" t="s">
        <v>494</v>
      </c>
      <c r="Y376" t="s">
        <v>536</v>
      </c>
      <c r="Z376">
        <v>2</v>
      </c>
      <c r="AA376">
        <v>2</v>
      </c>
      <c r="AD376" t="s">
        <v>527</v>
      </c>
      <c r="AE376" t="s">
        <v>538</v>
      </c>
      <c r="AF376" t="s">
        <v>496</v>
      </c>
      <c r="AG376" t="b">
        <v>0</v>
      </c>
      <c r="AH376" t="b">
        <v>0</v>
      </c>
      <c r="AI376" t="b">
        <v>0</v>
      </c>
      <c r="AK376" t="s">
        <v>497</v>
      </c>
      <c r="AL376" t="b">
        <v>0</v>
      </c>
      <c r="AM376" t="b">
        <v>0</v>
      </c>
    </row>
    <row r="377" spans="1:39">
      <c r="A377" t="s">
        <v>1092</v>
      </c>
      <c r="B377" t="b">
        <v>1</v>
      </c>
      <c r="C377">
        <v>103055</v>
      </c>
      <c r="D377" t="s">
        <v>413</v>
      </c>
      <c r="E377" t="s">
        <v>414</v>
      </c>
      <c r="F377" t="s">
        <v>488</v>
      </c>
      <c r="G377" t="s">
        <v>489</v>
      </c>
      <c r="H377" t="s">
        <v>41</v>
      </c>
      <c r="I377">
        <v>1</v>
      </c>
      <c r="J377" s="4">
        <v>45108</v>
      </c>
      <c r="K377" s="4">
        <v>45108</v>
      </c>
      <c r="L377" s="5">
        <v>0.44097222222222221</v>
      </c>
      <c r="M377" s="5">
        <v>0.45833333333333331</v>
      </c>
      <c r="N377">
        <v>55.545859999999998</v>
      </c>
      <c r="O377">
        <v>13.981260000000001</v>
      </c>
      <c r="P377">
        <v>435722</v>
      </c>
      <c r="Q377">
        <v>6156008</v>
      </c>
      <c r="R377" t="s">
        <v>490</v>
      </c>
      <c r="S377">
        <v>770</v>
      </c>
      <c r="T377" t="s">
        <v>1052</v>
      </c>
      <c r="U377" t="s">
        <v>947</v>
      </c>
      <c r="V377" t="s">
        <v>504</v>
      </c>
      <c r="W377" t="s">
        <v>494</v>
      </c>
      <c r="X377" t="s">
        <v>494</v>
      </c>
      <c r="Y377" t="s">
        <v>536</v>
      </c>
      <c r="Z377">
        <v>1</v>
      </c>
      <c r="AA377">
        <v>1</v>
      </c>
      <c r="AD377" t="s">
        <v>510</v>
      </c>
      <c r="AE377" t="s">
        <v>538</v>
      </c>
      <c r="AF377" t="s">
        <v>496</v>
      </c>
      <c r="AG377" t="b">
        <v>0</v>
      </c>
      <c r="AH377" t="b">
        <v>0</v>
      </c>
      <c r="AI377" t="b">
        <v>0</v>
      </c>
      <c r="AK377" t="s">
        <v>497</v>
      </c>
      <c r="AL377" t="b">
        <v>0</v>
      </c>
      <c r="AM377" t="b">
        <v>0</v>
      </c>
    </row>
    <row r="378" spans="1:39">
      <c r="A378" t="s">
        <v>1093</v>
      </c>
      <c r="B378" t="b">
        <v>1</v>
      </c>
      <c r="C378">
        <v>102993</v>
      </c>
      <c r="D378" t="s">
        <v>384</v>
      </c>
      <c r="E378" t="s">
        <v>385</v>
      </c>
      <c r="F378" t="s">
        <v>488</v>
      </c>
      <c r="G378" t="s">
        <v>489</v>
      </c>
      <c r="H378" t="s">
        <v>85</v>
      </c>
      <c r="I378">
        <v>1</v>
      </c>
      <c r="J378" s="4">
        <v>45087</v>
      </c>
      <c r="K378" s="4">
        <v>45087</v>
      </c>
      <c r="L378" s="5">
        <v>0.53402777777777777</v>
      </c>
      <c r="M378" s="5">
        <v>0.53402777777777777</v>
      </c>
      <c r="N378">
        <v>55.54081</v>
      </c>
      <c r="O378">
        <v>13.95609</v>
      </c>
      <c r="P378">
        <v>434125</v>
      </c>
      <c r="Q378">
        <v>6155470</v>
      </c>
      <c r="R378" t="s">
        <v>490</v>
      </c>
      <c r="S378">
        <v>1500</v>
      </c>
      <c r="T378" t="s">
        <v>507</v>
      </c>
      <c r="U378" t="s">
        <v>508</v>
      </c>
      <c r="V378" t="s">
        <v>504</v>
      </c>
      <c r="W378" t="s">
        <v>494</v>
      </c>
      <c r="X378" t="s">
        <v>494</v>
      </c>
      <c r="Y378" t="s">
        <v>1094</v>
      </c>
      <c r="Z378">
        <v>1</v>
      </c>
      <c r="AA378">
        <v>1</v>
      </c>
      <c r="AE378" t="s">
        <v>42</v>
      </c>
      <c r="AF378" t="s">
        <v>496</v>
      </c>
      <c r="AG378" t="b">
        <v>0</v>
      </c>
      <c r="AH378" t="b">
        <v>0</v>
      </c>
      <c r="AI378" t="b">
        <v>0</v>
      </c>
      <c r="AK378" t="s">
        <v>497</v>
      </c>
      <c r="AL378" t="b">
        <v>0</v>
      </c>
      <c r="AM378" t="b">
        <v>0</v>
      </c>
    </row>
    <row r="379" spans="1:39">
      <c r="A379" t="s">
        <v>1095</v>
      </c>
      <c r="B379" t="b">
        <v>1</v>
      </c>
      <c r="C379">
        <v>103042</v>
      </c>
      <c r="D379" t="s">
        <v>398</v>
      </c>
      <c r="E379" t="s">
        <v>399</v>
      </c>
      <c r="F379" t="s">
        <v>488</v>
      </c>
      <c r="G379" t="s">
        <v>489</v>
      </c>
      <c r="H379" t="s">
        <v>85</v>
      </c>
      <c r="I379">
        <v>1</v>
      </c>
      <c r="J379" s="4">
        <v>45087</v>
      </c>
      <c r="K379" s="4">
        <v>45087</v>
      </c>
      <c r="L379" s="5">
        <v>0.51180555555555551</v>
      </c>
      <c r="M379" s="5">
        <v>0.51527777777777772</v>
      </c>
      <c r="N379">
        <v>55.54081</v>
      </c>
      <c r="O379">
        <v>13.95609</v>
      </c>
      <c r="P379">
        <v>434125</v>
      </c>
      <c r="Q379">
        <v>6155470</v>
      </c>
      <c r="R379" t="s">
        <v>490</v>
      </c>
      <c r="S379">
        <v>1500</v>
      </c>
      <c r="T379" t="s">
        <v>507</v>
      </c>
      <c r="U379" t="s">
        <v>508</v>
      </c>
      <c r="V379" t="s">
        <v>504</v>
      </c>
      <c r="W379" t="s">
        <v>494</v>
      </c>
      <c r="X379" t="s">
        <v>494</v>
      </c>
      <c r="Y379" t="s">
        <v>1096</v>
      </c>
      <c r="Z379">
        <v>2</v>
      </c>
      <c r="AA379">
        <v>2</v>
      </c>
      <c r="AE379" t="s">
        <v>538</v>
      </c>
      <c r="AF379" t="s">
        <v>496</v>
      </c>
      <c r="AG379" t="b">
        <v>0</v>
      </c>
      <c r="AH379" t="b">
        <v>0</v>
      </c>
      <c r="AI379" t="b">
        <v>0</v>
      </c>
      <c r="AK379" t="s">
        <v>497</v>
      </c>
      <c r="AL379" t="b">
        <v>0</v>
      </c>
      <c r="AM379" t="b">
        <v>0</v>
      </c>
    </row>
    <row r="380" spans="1:39">
      <c r="A380" t="s">
        <v>1097</v>
      </c>
      <c r="B380" t="b">
        <v>1</v>
      </c>
      <c r="C380">
        <v>100091</v>
      </c>
      <c r="D380" t="s">
        <v>162</v>
      </c>
      <c r="E380" t="s">
        <v>163</v>
      </c>
      <c r="F380" t="s">
        <v>488</v>
      </c>
      <c r="G380" t="s">
        <v>489</v>
      </c>
      <c r="H380" t="s">
        <v>81</v>
      </c>
      <c r="I380">
        <v>1</v>
      </c>
      <c r="J380" s="4">
        <v>45410</v>
      </c>
      <c r="K380" s="4">
        <v>45410</v>
      </c>
      <c r="L380" s="5">
        <v>0.90625</v>
      </c>
      <c r="M380" s="5">
        <v>0.90625</v>
      </c>
      <c r="N380">
        <v>55.562530000000002</v>
      </c>
      <c r="O380">
        <v>13.92245</v>
      </c>
      <c r="P380">
        <v>432040</v>
      </c>
      <c r="Q380">
        <v>6157919</v>
      </c>
      <c r="R380" t="s">
        <v>490</v>
      </c>
      <c r="S380">
        <v>200</v>
      </c>
      <c r="T380" t="s">
        <v>807</v>
      </c>
      <c r="U380" t="s">
        <v>508</v>
      </c>
      <c r="V380" t="s">
        <v>504</v>
      </c>
      <c r="W380" t="s">
        <v>494</v>
      </c>
      <c r="X380" t="s">
        <v>494</v>
      </c>
      <c r="Y380" t="s">
        <v>1098</v>
      </c>
      <c r="Z380">
        <v>1</v>
      </c>
      <c r="AA380">
        <v>1</v>
      </c>
      <c r="AE380" t="s">
        <v>42</v>
      </c>
      <c r="AF380" t="s">
        <v>496</v>
      </c>
      <c r="AG380" t="b">
        <v>0</v>
      </c>
      <c r="AH380" t="b">
        <v>0</v>
      </c>
      <c r="AI380" t="b">
        <v>0</v>
      </c>
      <c r="AK380" t="s">
        <v>497</v>
      </c>
      <c r="AL380" t="b">
        <v>0</v>
      </c>
      <c r="AM380" t="b">
        <v>0</v>
      </c>
    </row>
    <row r="381" spans="1:39">
      <c r="A381" t="s">
        <v>1099</v>
      </c>
      <c r="B381" t="b">
        <v>1</v>
      </c>
      <c r="C381">
        <v>103020</v>
      </c>
      <c r="D381" t="s">
        <v>328</v>
      </c>
      <c r="E381" t="s">
        <v>329</v>
      </c>
      <c r="F381" t="s">
        <v>488</v>
      </c>
      <c r="G381" t="s">
        <v>489</v>
      </c>
      <c r="H381" t="s">
        <v>41</v>
      </c>
      <c r="I381">
        <v>1</v>
      </c>
      <c r="J381" s="4">
        <v>45379</v>
      </c>
      <c r="K381" s="4">
        <v>45379</v>
      </c>
      <c r="N381">
        <v>55.556199999999997</v>
      </c>
      <c r="O381">
        <v>13.93919</v>
      </c>
      <c r="P381">
        <v>433085</v>
      </c>
      <c r="Q381">
        <v>6157198</v>
      </c>
      <c r="R381" t="s">
        <v>490</v>
      </c>
      <c r="S381">
        <v>25</v>
      </c>
      <c r="T381" t="s">
        <v>554</v>
      </c>
      <c r="U381" t="s">
        <v>508</v>
      </c>
      <c r="V381" t="s">
        <v>504</v>
      </c>
      <c r="W381" t="s">
        <v>494</v>
      </c>
      <c r="X381" t="s">
        <v>494</v>
      </c>
      <c r="Y381" t="s">
        <v>555</v>
      </c>
      <c r="Z381">
        <v>3</v>
      </c>
      <c r="AA381">
        <v>3</v>
      </c>
      <c r="AE381" t="s">
        <v>42</v>
      </c>
      <c r="AF381" t="s">
        <v>496</v>
      </c>
      <c r="AG381" t="b">
        <v>0</v>
      </c>
      <c r="AH381" t="b">
        <v>0</v>
      </c>
      <c r="AI381" t="b">
        <v>0</v>
      </c>
      <c r="AK381" t="s">
        <v>497</v>
      </c>
      <c r="AL381" t="b">
        <v>0</v>
      </c>
      <c r="AM381" t="b">
        <v>0</v>
      </c>
    </row>
    <row r="382" spans="1:39">
      <c r="A382" t="s">
        <v>1100</v>
      </c>
      <c r="B382" t="b">
        <v>1</v>
      </c>
      <c r="C382">
        <v>100124</v>
      </c>
      <c r="D382" t="s">
        <v>352</v>
      </c>
      <c r="E382" t="s">
        <v>353</v>
      </c>
      <c r="F382" t="s">
        <v>488</v>
      </c>
      <c r="G382" t="s">
        <v>489</v>
      </c>
      <c r="H382" t="s">
        <v>81</v>
      </c>
      <c r="I382">
        <v>1</v>
      </c>
      <c r="J382" s="4">
        <v>45434</v>
      </c>
      <c r="K382" s="4">
        <v>45434</v>
      </c>
      <c r="N382">
        <v>55.548259999999999</v>
      </c>
      <c r="O382">
        <v>13.96992</v>
      </c>
      <c r="P382">
        <v>435010</v>
      </c>
      <c r="Q382">
        <v>6156285</v>
      </c>
      <c r="R382" t="s">
        <v>490</v>
      </c>
      <c r="S382">
        <v>25</v>
      </c>
      <c r="T382" t="s">
        <v>737</v>
      </c>
      <c r="U382" t="s">
        <v>508</v>
      </c>
      <c r="V382" t="s">
        <v>504</v>
      </c>
      <c r="W382" t="s">
        <v>494</v>
      </c>
      <c r="X382" t="s">
        <v>494</v>
      </c>
      <c r="Y382" t="s">
        <v>738</v>
      </c>
      <c r="Z382">
        <v>10</v>
      </c>
      <c r="AA382">
        <v>10</v>
      </c>
      <c r="AE382" t="s">
        <v>62</v>
      </c>
      <c r="AF382" t="s">
        <v>496</v>
      </c>
      <c r="AG382" t="b">
        <v>0</v>
      </c>
      <c r="AH382" t="b">
        <v>0</v>
      </c>
      <c r="AI382" t="b">
        <v>0</v>
      </c>
      <c r="AK382" t="s">
        <v>497</v>
      </c>
      <c r="AL382" t="b">
        <v>0</v>
      </c>
      <c r="AM382" t="b">
        <v>0</v>
      </c>
    </row>
    <row r="383" spans="1:39">
      <c r="A383" t="s">
        <v>1101</v>
      </c>
      <c r="B383" t="b">
        <v>1</v>
      </c>
      <c r="C383">
        <v>102977</v>
      </c>
      <c r="D383" t="s">
        <v>47</v>
      </c>
      <c r="E383" t="s">
        <v>48</v>
      </c>
      <c r="F383" t="s">
        <v>488</v>
      </c>
      <c r="G383" t="s">
        <v>489</v>
      </c>
      <c r="H383" t="s">
        <v>46</v>
      </c>
      <c r="I383">
        <v>1</v>
      </c>
      <c r="J383" s="4">
        <v>45434</v>
      </c>
      <c r="K383" s="4">
        <v>45434</v>
      </c>
      <c r="L383" s="5">
        <v>0.45833333333333331</v>
      </c>
      <c r="M383" s="5">
        <v>0.4861111111111111</v>
      </c>
      <c r="N383">
        <v>55.516190000000002</v>
      </c>
      <c r="O383">
        <v>13.929740000000001</v>
      </c>
      <c r="P383">
        <v>432420</v>
      </c>
      <c r="Q383">
        <v>6152756</v>
      </c>
      <c r="R383" t="s">
        <v>490</v>
      </c>
      <c r="S383">
        <v>200</v>
      </c>
      <c r="T383" t="s">
        <v>1006</v>
      </c>
      <c r="U383" t="s">
        <v>525</v>
      </c>
      <c r="V383" t="s">
        <v>504</v>
      </c>
      <c r="W383" t="s">
        <v>494</v>
      </c>
      <c r="X383" t="s">
        <v>494</v>
      </c>
      <c r="Y383" t="s">
        <v>617</v>
      </c>
      <c r="Z383">
        <v>1</v>
      </c>
      <c r="AA383">
        <v>1</v>
      </c>
      <c r="AE383" t="s">
        <v>538</v>
      </c>
      <c r="AF383" t="s">
        <v>496</v>
      </c>
      <c r="AG383" t="b">
        <v>0</v>
      </c>
      <c r="AH383" t="b">
        <v>0</v>
      </c>
      <c r="AI383" t="b">
        <v>0</v>
      </c>
      <c r="AK383" t="s">
        <v>497</v>
      </c>
      <c r="AL383" t="b">
        <v>0</v>
      </c>
      <c r="AM383" t="b">
        <v>0</v>
      </c>
    </row>
    <row r="384" spans="1:39">
      <c r="A384" t="s">
        <v>1102</v>
      </c>
      <c r="B384" t="b">
        <v>1</v>
      </c>
      <c r="C384">
        <v>102972</v>
      </c>
      <c r="D384" t="s">
        <v>55</v>
      </c>
      <c r="E384" t="s">
        <v>56</v>
      </c>
      <c r="F384" t="s">
        <v>488</v>
      </c>
      <c r="G384" t="s">
        <v>489</v>
      </c>
      <c r="H384" t="s">
        <v>41</v>
      </c>
      <c r="I384">
        <v>1</v>
      </c>
      <c r="J384" s="4">
        <v>45419</v>
      </c>
      <c r="K384" s="4">
        <v>45419</v>
      </c>
      <c r="N384">
        <v>55.519379999999998</v>
      </c>
      <c r="O384">
        <v>13.900790000000001</v>
      </c>
      <c r="P384">
        <v>430598</v>
      </c>
      <c r="Q384">
        <v>6153138</v>
      </c>
      <c r="R384" t="s">
        <v>490</v>
      </c>
      <c r="S384">
        <v>25</v>
      </c>
      <c r="T384" t="s">
        <v>507</v>
      </c>
      <c r="U384" t="s">
        <v>525</v>
      </c>
      <c r="V384" t="s">
        <v>504</v>
      </c>
      <c r="W384" t="s">
        <v>494</v>
      </c>
      <c r="X384" t="s">
        <v>494</v>
      </c>
      <c r="Y384" t="s">
        <v>738</v>
      </c>
      <c r="Z384">
        <v>2</v>
      </c>
      <c r="AA384">
        <v>2</v>
      </c>
      <c r="AC384" t="s">
        <v>512</v>
      </c>
      <c r="AD384" t="s">
        <v>527</v>
      </c>
      <c r="AE384" t="s">
        <v>42</v>
      </c>
      <c r="AF384" t="s">
        <v>496</v>
      </c>
      <c r="AG384" t="b">
        <v>0</v>
      </c>
      <c r="AH384" t="b">
        <v>0</v>
      </c>
      <c r="AI384" t="b">
        <v>0</v>
      </c>
      <c r="AK384" t="s">
        <v>497</v>
      </c>
      <c r="AL384" t="b">
        <v>0</v>
      </c>
      <c r="AM384" t="b">
        <v>0</v>
      </c>
    </row>
    <row r="385" spans="1:39">
      <c r="A385" t="s">
        <v>1103</v>
      </c>
      <c r="B385" t="b">
        <v>1</v>
      </c>
      <c r="C385">
        <v>103012</v>
      </c>
      <c r="D385" t="s">
        <v>358</v>
      </c>
      <c r="E385" t="s">
        <v>359</v>
      </c>
      <c r="F385" t="s">
        <v>488</v>
      </c>
      <c r="G385" t="s">
        <v>489</v>
      </c>
      <c r="H385" t="s">
        <v>41</v>
      </c>
      <c r="I385">
        <v>1</v>
      </c>
      <c r="J385" s="4">
        <v>45046</v>
      </c>
      <c r="K385" s="4">
        <v>45046</v>
      </c>
      <c r="L385" s="5">
        <v>0.62708333333333333</v>
      </c>
      <c r="M385" s="5">
        <v>0.62708333333333333</v>
      </c>
      <c r="N385">
        <v>55.555990000000001</v>
      </c>
      <c r="O385">
        <v>13.8973</v>
      </c>
      <c r="P385">
        <v>430442</v>
      </c>
      <c r="Q385">
        <v>6157216</v>
      </c>
      <c r="R385" t="s">
        <v>490</v>
      </c>
      <c r="S385">
        <v>400</v>
      </c>
      <c r="T385" t="s">
        <v>575</v>
      </c>
      <c r="U385" t="s">
        <v>532</v>
      </c>
      <c r="V385" t="s">
        <v>504</v>
      </c>
      <c r="W385" t="s">
        <v>494</v>
      </c>
      <c r="X385" t="s">
        <v>494</v>
      </c>
      <c r="Y385" t="s">
        <v>724</v>
      </c>
      <c r="Z385">
        <v>1</v>
      </c>
      <c r="AA385">
        <v>1</v>
      </c>
      <c r="AE385" t="s">
        <v>42</v>
      </c>
      <c r="AF385" t="s">
        <v>496</v>
      </c>
      <c r="AG385" t="b">
        <v>0</v>
      </c>
      <c r="AH385" t="b">
        <v>0</v>
      </c>
      <c r="AI385" t="b">
        <v>0</v>
      </c>
      <c r="AK385" t="s">
        <v>497</v>
      </c>
      <c r="AL385" t="b">
        <v>0</v>
      </c>
      <c r="AM385" t="b">
        <v>0</v>
      </c>
    </row>
    <row r="386" spans="1:39">
      <c r="A386" t="s">
        <v>1104</v>
      </c>
      <c r="B386" t="b">
        <v>1</v>
      </c>
      <c r="C386">
        <v>103020</v>
      </c>
      <c r="D386" t="s">
        <v>328</v>
      </c>
      <c r="E386" t="s">
        <v>329</v>
      </c>
      <c r="F386" t="s">
        <v>488</v>
      </c>
      <c r="G386" t="s">
        <v>489</v>
      </c>
      <c r="H386" t="s">
        <v>41</v>
      </c>
      <c r="I386">
        <v>1</v>
      </c>
      <c r="J386" s="4">
        <v>44615</v>
      </c>
      <c r="K386" s="4">
        <v>44615</v>
      </c>
      <c r="L386" s="5">
        <v>0.59375</v>
      </c>
      <c r="M386" s="5">
        <v>0.64583333333333337</v>
      </c>
      <c r="N386">
        <v>55.530740000000002</v>
      </c>
      <c r="O386">
        <v>13.879630000000001</v>
      </c>
      <c r="P386">
        <v>429282</v>
      </c>
      <c r="Q386">
        <v>6154424</v>
      </c>
      <c r="R386" t="s">
        <v>490</v>
      </c>
      <c r="S386">
        <v>310</v>
      </c>
      <c r="T386" t="s">
        <v>499</v>
      </c>
      <c r="U386" t="s">
        <v>492</v>
      </c>
      <c r="V386" t="s">
        <v>493</v>
      </c>
      <c r="W386" t="s">
        <v>494</v>
      </c>
      <c r="X386" t="s">
        <v>494</v>
      </c>
      <c r="Y386" t="s">
        <v>1105</v>
      </c>
      <c r="Z386">
        <v>1</v>
      </c>
      <c r="AA386">
        <v>1</v>
      </c>
      <c r="AE386" t="s">
        <v>42</v>
      </c>
      <c r="AF386" t="s">
        <v>496</v>
      </c>
      <c r="AG386" t="b">
        <v>0</v>
      </c>
      <c r="AH386" t="b">
        <v>0</v>
      </c>
      <c r="AI386" t="b">
        <v>0</v>
      </c>
      <c r="AK386" t="s">
        <v>497</v>
      </c>
      <c r="AL386" t="b">
        <v>0</v>
      </c>
      <c r="AM386" t="b">
        <v>0</v>
      </c>
    </row>
    <row r="387" spans="1:39">
      <c r="A387" t="s">
        <v>1106</v>
      </c>
      <c r="B387" t="b">
        <v>1</v>
      </c>
      <c r="C387">
        <v>102977</v>
      </c>
      <c r="D387" t="s">
        <v>47</v>
      </c>
      <c r="E387" t="s">
        <v>48</v>
      </c>
      <c r="F387" t="s">
        <v>488</v>
      </c>
      <c r="G387" t="s">
        <v>489</v>
      </c>
      <c r="H387" t="s">
        <v>46</v>
      </c>
      <c r="I387">
        <v>1</v>
      </c>
      <c r="J387" s="4">
        <v>44619</v>
      </c>
      <c r="K387" s="4">
        <v>44619</v>
      </c>
      <c r="L387" s="5">
        <v>0.64930555555555558</v>
      </c>
      <c r="M387" s="5">
        <v>0.6645833333333333</v>
      </c>
      <c r="N387">
        <v>55.530740000000002</v>
      </c>
      <c r="O387">
        <v>13.879630000000001</v>
      </c>
      <c r="P387">
        <v>429282</v>
      </c>
      <c r="Q387">
        <v>6154424</v>
      </c>
      <c r="R387" t="s">
        <v>490</v>
      </c>
      <c r="S387">
        <v>310</v>
      </c>
      <c r="T387" t="s">
        <v>499</v>
      </c>
      <c r="U387" t="s">
        <v>492</v>
      </c>
      <c r="V387" t="s">
        <v>493</v>
      </c>
      <c r="W387" t="s">
        <v>494</v>
      </c>
      <c r="X387" t="s">
        <v>494</v>
      </c>
      <c r="Y387" t="s">
        <v>1105</v>
      </c>
      <c r="Z387">
        <v>1</v>
      </c>
      <c r="AA387">
        <v>1</v>
      </c>
      <c r="AE387" t="s">
        <v>42</v>
      </c>
      <c r="AF387" t="s">
        <v>496</v>
      </c>
      <c r="AG387" t="b">
        <v>0</v>
      </c>
      <c r="AH387" t="b">
        <v>0</v>
      </c>
      <c r="AI387" t="b">
        <v>0</v>
      </c>
      <c r="AK387" t="s">
        <v>497</v>
      </c>
      <c r="AL387" t="b">
        <v>0</v>
      </c>
      <c r="AM387" t="b">
        <v>0</v>
      </c>
    </row>
    <row r="388" spans="1:39">
      <c r="A388" t="s">
        <v>1107</v>
      </c>
      <c r="B388" t="b">
        <v>1</v>
      </c>
      <c r="C388">
        <v>103001</v>
      </c>
      <c r="D388" t="s">
        <v>372</v>
      </c>
      <c r="E388" t="s">
        <v>373</v>
      </c>
      <c r="F388" t="s">
        <v>488</v>
      </c>
      <c r="G388" t="s">
        <v>489</v>
      </c>
      <c r="H388" t="s">
        <v>41</v>
      </c>
      <c r="I388">
        <v>1</v>
      </c>
      <c r="J388" s="4">
        <v>43575</v>
      </c>
      <c r="K388" s="4">
        <v>43575</v>
      </c>
      <c r="L388" s="5">
        <v>0.54166666666666663</v>
      </c>
      <c r="M388" s="5">
        <v>0.61111111111111116</v>
      </c>
      <c r="N388">
        <v>55.526710000000001</v>
      </c>
      <c r="O388">
        <v>13.90039</v>
      </c>
      <c r="P388">
        <v>430585</v>
      </c>
      <c r="Q388">
        <v>6153955</v>
      </c>
      <c r="R388" t="s">
        <v>490</v>
      </c>
      <c r="S388">
        <v>250</v>
      </c>
      <c r="T388" t="s">
        <v>894</v>
      </c>
      <c r="U388" t="s">
        <v>525</v>
      </c>
      <c r="V388" t="s">
        <v>504</v>
      </c>
      <c r="W388" t="s">
        <v>494</v>
      </c>
      <c r="X388" t="s">
        <v>494</v>
      </c>
      <c r="Y388" t="s">
        <v>749</v>
      </c>
      <c r="Z388">
        <v>1</v>
      </c>
      <c r="AA388">
        <v>1</v>
      </c>
      <c r="AE388" t="s">
        <v>42</v>
      </c>
      <c r="AF388" t="s">
        <v>496</v>
      </c>
      <c r="AG388" t="b">
        <v>0</v>
      </c>
      <c r="AH388" t="b">
        <v>0</v>
      </c>
      <c r="AI388" t="b">
        <v>0</v>
      </c>
      <c r="AK388" t="s">
        <v>497</v>
      </c>
      <c r="AL388" t="b">
        <v>0</v>
      </c>
      <c r="AM388" t="b">
        <v>0</v>
      </c>
    </row>
    <row r="389" spans="1:39">
      <c r="A389" t="s">
        <v>1108</v>
      </c>
      <c r="B389" t="b">
        <v>1</v>
      </c>
      <c r="C389">
        <v>100049</v>
      </c>
      <c r="D389" t="s">
        <v>295</v>
      </c>
      <c r="E389" t="s">
        <v>296</v>
      </c>
      <c r="F389" t="s">
        <v>488</v>
      </c>
      <c r="G389" t="s">
        <v>489</v>
      </c>
      <c r="H389" t="s">
        <v>46</v>
      </c>
      <c r="I389">
        <v>1</v>
      </c>
      <c r="J389" s="4">
        <v>44765</v>
      </c>
      <c r="K389" s="4">
        <v>44765</v>
      </c>
      <c r="N389">
        <v>55.526730000000001</v>
      </c>
      <c r="O389">
        <v>13.89991</v>
      </c>
      <c r="P389">
        <v>430555</v>
      </c>
      <c r="Q389">
        <v>6153958</v>
      </c>
      <c r="R389" t="s">
        <v>490</v>
      </c>
      <c r="S389">
        <v>250</v>
      </c>
      <c r="T389" t="s">
        <v>578</v>
      </c>
      <c r="U389" t="s">
        <v>525</v>
      </c>
      <c r="V389" t="s">
        <v>504</v>
      </c>
      <c r="W389" t="s">
        <v>494</v>
      </c>
      <c r="X389" t="s">
        <v>494</v>
      </c>
      <c r="Y389" t="s">
        <v>1109</v>
      </c>
      <c r="Z389">
        <v>1</v>
      </c>
      <c r="AA389">
        <v>1</v>
      </c>
      <c r="AE389" t="s">
        <v>538</v>
      </c>
      <c r="AF389" t="s">
        <v>496</v>
      </c>
      <c r="AG389" t="b">
        <v>0</v>
      </c>
      <c r="AH389" t="b">
        <v>0</v>
      </c>
      <c r="AI389" t="b">
        <v>0</v>
      </c>
      <c r="AK389" t="s">
        <v>497</v>
      </c>
      <c r="AL389" t="b">
        <v>0</v>
      </c>
      <c r="AM389" t="b">
        <v>0</v>
      </c>
    </row>
    <row r="390" spans="1:39">
      <c r="A390" t="s">
        <v>1110</v>
      </c>
      <c r="B390" t="b">
        <v>1</v>
      </c>
      <c r="C390">
        <v>100049</v>
      </c>
      <c r="D390" t="s">
        <v>295</v>
      </c>
      <c r="E390" t="s">
        <v>296</v>
      </c>
      <c r="F390" t="s">
        <v>488</v>
      </c>
      <c r="G390" t="s">
        <v>489</v>
      </c>
      <c r="H390" t="s">
        <v>46</v>
      </c>
      <c r="I390">
        <v>1</v>
      </c>
      <c r="J390" s="4">
        <v>44771</v>
      </c>
      <c r="K390" s="4">
        <v>44771</v>
      </c>
      <c r="L390" s="5">
        <v>0.4375</v>
      </c>
      <c r="M390" s="5">
        <v>0.53472222222222221</v>
      </c>
      <c r="N390">
        <v>55.526899999999998</v>
      </c>
      <c r="O390">
        <v>13.89978</v>
      </c>
      <c r="P390">
        <v>430547</v>
      </c>
      <c r="Q390">
        <v>6153977</v>
      </c>
      <c r="R390" t="s">
        <v>490</v>
      </c>
      <c r="S390">
        <v>250</v>
      </c>
      <c r="T390" t="s">
        <v>1084</v>
      </c>
      <c r="U390" t="s">
        <v>525</v>
      </c>
      <c r="V390" t="s">
        <v>504</v>
      </c>
      <c r="W390" t="s">
        <v>494</v>
      </c>
      <c r="X390" t="s">
        <v>494</v>
      </c>
      <c r="Y390" t="s">
        <v>1111</v>
      </c>
      <c r="Z390">
        <v>2</v>
      </c>
      <c r="AA390">
        <v>2</v>
      </c>
      <c r="AE390" t="s">
        <v>42</v>
      </c>
      <c r="AF390" t="s">
        <v>496</v>
      </c>
      <c r="AG390" t="b">
        <v>0</v>
      </c>
      <c r="AH390" t="b">
        <v>0</v>
      </c>
      <c r="AI390" t="b">
        <v>0</v>
      </c>
      <c r="AK390" t="s">
        <v>497</v>
      </c>
      <c r="AL390" t="b">
        <v>0</v>
      </c>
      <c r="AM390" t="b">
        <v>0</v>
      </c>
    </row>
    <row r="391" spans="1:39">
      <c r="A391" t="s">
        <v>1112</v>
      </c>
      <c r="B391" t="b">
        <v>1</v>
      </c>
      <c r="C391">
        <v>103042</v>
      </c>
      <c r="D391" t="s">
        <v>398</v>
      </c>
      <c r="E391" t="s">
        <v>399</v>
      </c>
      <c r="F391" t="s">
        <v>488</v>
      </c>
      <c r="G391" t="s">
        <v>489</v>
      </c>
      <c r="H391" t="s">
        <v>85</v>
      </c>
      <c r="I391">
        <v>1</v>
      </c>
      <c r="J391" s="4">
        <v>44641</v>
      </c>
      <c r="K391" s="4">
        <v>44641</v>
      </c>
      <c r="L391" s="5">
        <v>0.45833333333333331</v>
      </c>
      <c r="M391" s="5">
        <v>0.5</v>
      </c>
      <c r="N391">
        <v>55.555169999999997</v>
      </c>
      <c r="O391">
        <v>13.94431</v>
      </c>
      <c r="P391">
        <v>433406</v>
      </c>
      <c r="Q391">
        <v>6157079</v>
      </c>
      <c r="R391" t="s">
        <v>490</v>
      </c>
      <c r="S391">
        <v>200</v>
      </c>
      <c r="T391" t="s">
        <v>1113</v>
      </c>
      <c r="U391" t="s">
        <v>508</v>
      </c>
      <c r="V391" t="s">
        <v>504</v>
      </c>
      <c r="W391" t="s">
        <v>494</v>
      </c>
      <c r="X391" t="s">
        <v>494</v>
      </c>
      <c r="Y391" t="s">
        <v>536</v>
      </c>
      <c r="Z391">
        <v>2</v>
      </c>
      <c r="AA391">
        <v>2</v>
      </c>
      <c r="AE391" t="s">
        <v>42</v>
      </c>
      <c r="AF391" t="s">
        <v>496</v>
      </c>
      <c r="AG391" t="b">
        <v>0</v>
      </c>
      <c r="AH391" t="b">
        <v>0</v>
      </c>
      <c r="AI391" t="b">
        <v>0</v>
      </c>
      <c r="AK391" t="s">
        <v>497</v>
      </c>
      <c r="AL391" t="b">
        <v>0</v>
      </c>
      <c r="AM391" t="b">
        <v>0</v>
      </c>
    </row>
    <row r="392" spans="1:39">
      <c r="A392" t="s">
        <v>1114</v>
      </c>
      <c r="B392" t="b">
        <v>1</v>
      </c>
      <c r="C392">
        <v>103055</v>
      </c>
      <c r="D392" t="s">
        <v>413</v>
      </c>
      <c r="E392" t="s">
        <v>414</v>
      </c>
      <c r="F392" t="s">
        <v>488</v>
      </c>
      <c r="G392" t="s">
        <v>489</v>
      </c>
      <c r="H392" t="s">
        <v>41</v>
      </c>
      <c r="I392">
        <v>1</v>
      </c>
      <c r="J392" s="4">
        <v>45765</v>
      </c>
      <c r="K392" s="4">
        <v>45765</v>
      </c>
      <c r="L392" s="5">
        <v>0.51388888888888884</v>
      </c>
      <c r="M392" s="5">
        <v>0.59722222222222221</v>
      </c>
      <c r="N392">
        <v>55.515189999999997</v>
      </c>
      <c r="O392">
        <v>13.899330000000001</v>
      </c>
      <c r="P392">
        <v>430498</v>
      </c>
      <c r="Q392">
        <v>6152673</v>
      </c>
      <c r="R392" t="s">
        <v>490</v>
      </c>
      <c r="S392">
        <v>125</v>
      </c>
      <c r="T392" t="s">
        <v>552</v>
      </c>
      <c r="U392" t="s">
        <v>525</v>
      </c>
      <c r="V392" t="s">
        <v>504</v>
      </c>
      <c r="W392" t="s">
        <v>494</v>
      </c>
      <c r="X392" t="s">
        <v>494</v>
      </c>
      <c r="Y392" t="s">
        <v>536</v>
      </c>
      <c r="Z392">
        <v>1</v>
      </c>
      <c r="AA392">
        <v>1</v>
      </c>
      <c r="AE392" t="s">
        <v>42</v>
      </c>
      <c r="AF392" t="s">
        <v>496</v>
      </c>
      <c r="AG392" t="b">
        <v>0</v>
      </c>
      <c r="AH392" t="b">
        <v>0</v>
      </c>
      <c r="AI392" t="b">
        <v>0</v>
      </c>
      <c r="AK392" t="s">
        <v>497</v>
      </c>
      <c r="AL392" t="b">
        <v>0</v>
      </c>
      <c r="AM392" t="b">
        <v>0</v>
      </c>
    </row>
    <row r="393" spans="1:39">
      <c r="A393" t="s">
        <v>1115</v>
      </c>
      <c r="B393" t="b">
        <v>1</v>
      </c>
      <c r="C393">
        <v>102977</v>
      </c>
      <c r="D393" t="s">
        <v>47</v>
      </c>
      <c r="E393" t="s">
        <v>48</v>
      </c>
      <c r="F393" t="s">
        <v>488</v>
      </c>
      <c r="G393" t="s">
        <v>489</v>
      </c>
      <c r="H393" t="s">
        <v>46</v>
      </c>
      <c r="I393">
        <v>1</v>
      </c>
      <c r="J393" s="4">
        <v>45750</v>
      </c>
      <c r="K393" s="4">
        <v>45750</v>
      </c>
      <c r="L393" s="5">
        <v>0.57638888888888884</v>
      </c>
      <c r="M393" s="5">
        <v>0.61805555555555558</v>
      </c>
      <c r="N393">
        <v>55.547759999999997</v>
      </c>
      <c r="O393">
        <v>13.86754</v>
      </c>
      <c r="P393">
        <v>428550</v>
      </c>
      <c r="Q393">
        <v>6156331</v>
      </c>
      <c r="R393" t="s">
        <v>490</v>
      </c>
      <c r="S393">
        <v>627</v>
      </c>
      <c r="T393" t="s">
        <v>541</v>
      </c>
      <c r="U393" t="s">
        <v>525</v>
      </c>
      <c r="V393" t="s">
        <v>504</v>
      </c>
      <c r="W393" t="s">
        <v>494</v>
      </c>
      <c r="X393" t="s">
        <v>494</v>
      </c>
      <c r="Y393" t="s">
        <v>645</v>
      </c>
      <c r="Z393">
        <v>1</v>
      </c>
      <c r="AA393">
        <v>1</v>
      </c>
      <c r="AE393" t="s">
        <v>42</v>
      </c>
      <c r="AF393" t="s">
        <v>496</v>
      </c>
      <c r="AG393" t="b">
        <v>0</v>
      </c>
      <c r="AH393" t="b">
        <v>0</v>
      </c>
      <c r="AI393" t="b">
        <v>0</v>
      </c>
      <c r="AK393" t="s">
        <v>497</v>
      </c>
      <c r="AL393" t="b">
        <v>0</v>
      </c>
      <c r="AM393" t="b">
        <v>0</v>
      </c>
    </row>
    <row r="394" spans="1:39">
      <c r="A394" t="s">
        <v>1116</v>
      </c>
      <c r="B394" t="b">
        <v>1</v>
      </c>
      <c r="C394">
        <v>102975</v>
      </c>
      <c r="D394" t="s">
        <v>255</v>
      </c>
      <c r="E394" t="s">
        <v>256</v>
      </c>
      <c r="F394" t="s">
        <v>488</v>
      </c>
      <c r="G394" t="s">
        <v>489</v>
      </c>
      <c r="H394" t="s">
        <v>81</v>
      </c>
      <c r="I394">
        <v>1</v>
      </c>
      <c r="J394" s="4">
        <v>45723</v>
      </c>
      <c r="K394" s="4">
        <v>45723</v>
      </c>
      <c r="N394">
        <v>55.556199999999997</v>
      </c>
      <c r="O394">
        <v>13.93919</v>
      </c>
      <c r="P394">
        <v>433085</v>
      </c>
      <c r="Q394">
        <v>6157198</v>
      </c>
      <c r="R394" t="s">
        <v>490</v>
      </c>
      <c r="S394">
        <v>25</v>
      </c>
      <c r="T394" t="s">
        <v>554</v>
      </c>
      <c r="U394" t="s">
        <v>508</v>
      </c>
      <c r="V394" t="s">
        <v>504</v>
      </c>
      <c r="W394" t="s">
        <v>494</v>
      </c>
      <c r="X394" t="s">
        <v>494</v>
      </c>
      <c r="Y394" t="s">
        <v>555</v>
      </c>
      <c r="Z394">
        <v>1</v>
      </c>
      <c r="AA394">
        <v>1</v>
      </c>
      <c r="AE394" t="s">
        <v>42</v>
      </c>
      <c r="AF394" t="s">
        <v>496</v>
      </c>
      <c r="AG394" t="b">
        <v>0</v>
      </c>
      <c r="AH394" t="b">
        <v>0</v>
      </c>
      <c r="AI394" t="b">
        <v>0</v>
      </c>
      <c r="AK394" t="s">
        <v>497</v>
      </c>
      <c r="AL394" t="b">
        <v>0</v>
      </c>
      <c r="AM394" t="b">
        <v>0</v>
      </c>
    </row>
    <row r="395" spans="1:39">
      <c r="A395" t="s">
        <v>1117</v>
      </c>
      <c r="B395" t="b">
        <v>1</v>
      </c>
      <c r="C395">
        <v>102987</v>
      </c>
      <c r="D395" t="s">
        <v>388</v>
      </c>
      <c r="E395" t="s">
        <v>389</v>
      </c>
      <c r="F395" t="s">
        <v>488</v>
      </c>
      <c r="G395" t="s">
        <v>489</v>
      </c>
      <c r="H395" t="s">
        <v>41</v>
      </c>
      <c r="I395">
        <v>1</v>
      </c>
      <c r="J395" s="4">
        <v>45079</v>
      </c>
      <c r="K395" s="4">
        <v>45079</v>
      </c>
      <c r="L395" s="5">
        <v>0.70833333333333337</v>
      </c>
      <c r="M395" s="5">
        <v>0.75</v>
      </c>
      <c r="N395">
        <v>55.515189999999997</v>
      </c>
      <c r="O395">
        <v>13.899330000000001</v>
      </c>
      <c r="P395">
        <v>430498</v>
      </c>
      <c r="Q395">
        <v>6152673</v>
      </c>
      <c r="R395" t="s">
        <v>490</v>
      </c>
      <c r="S395">
        <v>125</v>
      </c>
      <c r="T395" t="s">
        <v>552</v>
      </c>
      <c r="U395" t="s">
        <v>525</v>
      </c>
      <c r="V395" t="s">
        <v>504</v>
      </c>
      <c r="W395" t="s">
        <v>494</v>
      </c>
      <c r="X395" t="s">
        <v>494</v>
      </c>
      <c r="Y395" t="s">
        <v>536</v>
      </c>
      <c r="Z395">
        <v>1</v>
      </c>
      <c r="AA395">
        <v>1</v>
      </c>
      <c r="AE395" t="s">
        <v>538</v>
      </c>
      <c r="AF395" t="s">
        <v>496</v>
      </c>
      <c r="AG395" t="b">
        <v>0</v>
      </c>
      <c r="AH395" t="b">
        <v>0</v>
      </c>
      <c r="AI395" t="b">
        <v>0</v>
      </c>
      <c r="AK395" t="s">
        <v>497</v>
      </c>
      <c r="AL395" t="b">
        <v>0</v>
      </c>
      <c r="AM395" t="b">
        <v>0</v>
      </c>
    </row>
    <row r="396" spans="1:39">
      <c r="A396" t="s">
        <v>1118</v>
      </c>
      <c r="B396" t="b">
        <v>1</v>
      </c>
      <c r="C396">
        <v>103042</v>
      </c>
      <c r="D396" t="s">
        <v>398</v>
      </c>
      <c r="E396" t="s">
        <v>399</v>
      </c>
      <c r="F396" t="s">
        <v>488</v>
      </c>
      <c r="G396" t="s">
        <v>489</v>
      </c>
      <c r="H396" t="s">
        <v>85</v>
      </c>
      <c r="I396">
        <v>1</v>
      </c>
      <c r="J396" s="4">
        <v>46114</v>
      </c>
      <c r="K396" s="4">
        <v>46114</v>
      </c>
      <c r="L396" s="5">
        <v>0.54166666666666663</v>
      </c>
      <c r="M396" s="5">
        <v>0.54166666666666663</v>
      </c>
      <c r="N396">
        <v>55.538980000000002</v>
      </c>
      <c r="O396">
        <v>13.96345</v>
      </c>
      <c r="P396">
        <v>434586</v>
      </c>
      <c r="Q396">
        <v>6155259</v>
      </c>
      <c r="R396" t="s">
        <v>490</v>
      </c>
      <c r="S396">
        <v>250</v>
      </c>
      <c r="T396" t="s">
        <v>995</v>
      </c>
      <c r="U396" t="s">
        <v>947</v>
      </c>
      <c r="V396" t="s">
        <v>504</v>
      </c>
      <c r="W396" t="s">
        <v>494</v>
      </c>
      <c r="X396" t="s">
        <v>494</v>
      </c>
      <c r="Y396" t="s">
        <v>536</v>
      </c>
      <c r="Z396">
        <v>1</v>
      </c>
      <c r="AA396">
        <v>1</v>
      </c>
      <c r="AE396" t="s">
        <v>42</v>
      </c>
      <c r="AF396" t="s">
        <v>496</v>
      </c>
      <c r="AG396" t="b">
        <v>0</v>
      </c>
      <c r="AH396" t="b">
        <v>0</v>
      </c>
      <c r="AI396" t="b">
        <v>0</v>
      </c>
      <c r="AK396" t="s">
        <v>497</v>
      </c>
      <c r="AL396" t="b">
        <v>0</v>
      </c>
      <c r="AM396" t="b">
        <v>0</v>
      </c>
    </row>
    <row r="397" spans="1:39">
      <c r="A397" t="s">
        <v>1119</v>
      </c>
      <c r="B397" t="b">
        <v>1</v>
      </c>
      <c r="C397">
        <v>102993</v>
      </c>
      <c r="D397" t="s">
        <v>384</v>
      </c>
      <c r="E397" t="s">
        <v>385</v>
      </c>
      <c r="F397" t="s">
        <v>488</v>
      </c>
      <c r="G397" t="s">
        <v>489</v>
      </c>
      <c r="H397" t="s">
        <v>85</v>
      </c>
      <c r="I397">
        <v>1</v>
      </c>
      <c r="J397" s="4">
        <v>39230</v>
      </c>
      <c r="K397" s="4">
        <v>39230</v>
      </c>
      <c r="L397" s="5">
        <v>0.34027777777777779</v>
      </c>
      <c r="M397" s="5">
        <v>0.34027777777777779</v>
      </c>
      <c r="N397">
        <v>55.54081</v>
      </c>
      <c r="O397">
        <v>13.95609</v>
      </c>
      <c r="P397">
        <v>434125</v>
      </c>
      <c r="Q397">
        <v>6155470</v>
      </c>
      <c r="R397" t="s">
        <v>490</v>
      </c>
      <c r="S397">
        <v>1500</v>
      </c>
      <c r="T397" t="s">
        <v>507</v>
      </c>
      <c r="U397" t="s">
        <v>508</v>
      </c>
      <c r="V397" t="s">
        <v>504</v>
      </c>
      <c r="W397" t="s">
        <v>494</v>
      </c>
      <c r="X397" t="s">
        <v>494</v>
      </c>
      <c r="Y397" t="s">
        <v>789</v>
      </c>
      <c r="Z397">
        <v>1</v>
      </c>
      <c r="AA397">
        <v>1</v>
      </c>
      <c r="AD397" t="s">
        <v>510</v>
      </c>
      <c r="AE397" t="s">
        <v>42</v>
      </c>
      <c r="AF397" t="s">
        <v>496</v>
      </c>
      <c r="AG397" t="b">
        <v>0</v>
      </c>
      <c r="AH397" t="b">
        <v>0</v>
      </c>
      <c r="AI397" t="b">
        <v>0</v>
      </c>
      <c r="AK397" t="s">
        <v>497</v>
      </c>
      <c r="AL397" t="b">
        <v>0</v>
      </c>
      <c r="AM397" t="b">
        <v>0</v>
      </c>
    </row>
    <row r="398" spans="1:39">
      <c r="A398" t="s">
        <v>1120</v>
      </c>
      <c r="B398" t="b">
        <v>1</v>
      </c>
      <c r="C398">
        <v>102925</v>
      </c>
      <c r="D398" t="s">
        <v>131</v>
      </c>
      <c r="E398" t="s">
        <v>132</v>
      </c>
      <c r="F398" t="s">
        <v>488</v>
      </c>
      <c r="G398" t="s">
        <v>489</v>
      </c>
      <c r="H398" t="s">
        <v>46</v>
      </c>
      <c r="I398">
        <v>1</v>
      </c>
      <c r="J398" s="4">
        <v>39920</v>
      </c>
      <c r="K398" s="4">
        <v>39920</v>
      </c>
      <c r="L398" s="5">
        <v>0.29652777777777778</v>
      </c>
      <c r="M398" s="5">
        <v>0.30972222222222223</v>
      </c>
      <c r="N398">
        <v>55.530740000000002</v>
      </c>
      <c r="O398">
        <v>13.879630000000001</v>
      </c>
      <c r="P398">
        <v>429282</v>
      </c>
      <c r="Q398">
        <v>6154424</v>
      </c>
      <c r="R398" t="s">
        <v>490</v>
      </c>
      <c r="S398">
        <v>310</v>
      </c>
      <c r="T398" t="s">
        <v>499</v>
      </c>
      <c r="U398" t="s">
        <v>492</v>
      </c>
      <c r="V398" t="s">
        <v>493</v>
      </c>
      <c r="W398" t="s">
        <v>494</v>
      </c>
      <c r="X398" t="s">
        <v>494</v>
      </c>
      <c r="Y398" t="s">
        <v>1121</v>
      </c>
      <c r="Z398">
        <v>8</v>
      </c>
      <c r="AA398">
        <v>8</v>
      </c>
      <c r="AD398" t="s">
        <v>527</v>
      </c>
      <c r="AE398" t="s">
        <v>42</v>
      </c>
      <c r="AF398" t="s">
        <v>496</v>
      </c>
      <c r="AG398" t="b">
        <v>0</v>
      </c>
      <c r="AH398" t="b">
        <v>0</v>
      </c>
      <c r="AI398" t="b">
        <v>0</v>
      </c>
      <c r="AK398" t="s">
        <v>497</v>
      </c>
      <c r="AL398" t="b">
        <v>0</v>
      </c>
      <c r="AM398" t="b">
        <v>0</v>
      </c>
    </row>
    <row r="399" spans="1:39">
      <c r="A399" t="s">
        <v>1122</v>
      </c>
      <c r="B399" t="b">
        <v>1</v>
      </c>
      <c r="C399">
        <v>103055</v>
      </c>
      <c r="D399" t="s">
        <v>413</v>
      </c>
      <c r="E399" t="s">
        <v>414</v>
      </c>
      <c r="F399" t="s">
        <v>488</v>
      </c>
      <c r="G399" t="s">
        <v>489</v>
      </c>
      <c r="H399" t="s">
        <v>41</v>
      </c>
      <c r="I399">
        <v>1</v>
      </c>
      <c r="J399" s="4">
        <v>40342</v>
      </c>
      <c r="K399" s="4">
        <v>40342</v>
      </c>
      <c r="L399" s="5">
        <v>0.52083333333333337</v>
      </c>
      <c r="M399" s="5">
        <v>0.52083333333333337</v>
      </c>
      <c r="N399">
        <v>55.527650000000001</v>
      </c>
      <c r="O399">
        <v>13.900119999999999</v>
      </c>
      <c r="P399">
        <v>430570</v>
      </c>
      <c r="Q399">
        <v>6154060</v>
      </c>
      <c r="R399" t="s">
        <v>490</v>
      </c>
      <c r="S399">
        <v>250</v>
      </c>
      <c r="T399" t="s">
        <v>578</v>
      </c>
      <c r="U399" t="s">
        <v>525</v>
      </c>
      <c r="V399" t="s">
        <v>504</v>
      </c>
      <c r="W399" t="s">
        <v>494</v>
      </c>
      <c r="X399" t="s">
        <v>494</v>
      </c>
      <c r="Y399" t="s">
        <v>1074</v>
      </c>
      <c r="Z399">
        <v>3</v>
      </c>
      <c r="AA399">
        <v>3</v>
      </c>
      <c r="AE399" t="s">
        <v>42</v>
      </c>
      <c r="AF399" t="s">
        <v>496</v>
      </c>
      <c r="AG399" t="b">
        <v>0</v>
      </c>
      <c r="AH399" t="b">
        <v>0</v>
      </c>
      <c r="AI399" t="b">
        <v>0</v>
      </c>
      <c r="AK399" t="s">
        <v>497</v>
      </c>
      <c r="AL399" t="b">
        <v>0</v>
      </c>
      <c r="AM399" t="b">
        <v>0</v>
      </c>
    </row>
    <row r="400" spans="1:39">
      <c r="A400" t="s">
        <v>1123</v>
      </c>
      <c r="B400" t="b">
        <v>1</v>
      </c>
      <c r="C400">
        <v>103003</v>
      </c>
      <c r="D400" t="s">
        <v>350</v>
      </c>
      <c r="E400" t="s">
        <v>351</v>
      </c>
      <c r="F400" t="s">
        <v>488</v>
      </c>
      <c r="G400" t="s">
        <v>489</v>
      </c>
      <c r="H400" t="s">
        <v>85</v>
      </c>
      <c r="I400">
        <v>1</v>
      </c>
      <c r="J400" s="4">
        <v>38876</v>
      </c>
      <c r="K400" s="4">
        <v>38876</v>
      </c>
      <c r="L400" s="5">
        <v>0</v>
      </c>
      <c r="M400" s="5">
        <v>0</v>
      </c>
      <c r="N400">
        <v>55.527650000000001</v>
      </c>
      <c r="O400">
        <v>13.900119999999999</v>
      </c>
      <c r="P400">
        <v>430570</v>
      </c>
      <c r="Q400">
        <v>6154060</v>
      </c>
      <c r="R400" t="s">
        <v>490</v>
      </c>
      <c r="S400">
        <v>250</v>
      </c>
      <c r="T400" t="s">
        <v>578</v>
      </c>
      <c r="U400" t="s">
        <v>525</v>
      </c>
      <c r="V400" t="s">
        <v>504</v>
      </c>
      <c r="W400" t="s">
        <v>494</v>
      </c>
      <c r="X400" t="s">
        <v>494</v>
      </c>
      <c r="Y400" t="s">
        <v>1124</v>
      </c>
      <c r="Z400">
        <v>1</v>
      </c>
      <c r="AA400">
        <v>1</v>
      </c>
      <c r="AE400" t="s">
        <v>42</v>
      </c>
      <c r="AF400" t="s">
        <v>496</v>
      </c>
      <c r="AG400" t="b">
        <v>0</v>
      </c>
      <c r="AH400" t="b">
        <v>0</v>
      </c>
      <c r="AI400" t="b">
        <v>0</v>
      </c>
      <c r="AK400" t="s">
        <v>497</v>
      </c>
      <c r="AL400" t="b">
        <v>0</v>
      </c>
      <c r="AM400" t="b">
        <v>0</v>
      </c>
    </row>
    <row r="401" spans="1:39">
      <c r="A401" t="s">
        <v>1125</v>
      </c>
      <c r="B401" t="b">
        <v>1</v>
      </c>
      <c r="C401">
        <v>103055</v>
      </c>
      <c r="D401" t="s">
        <v>413</v>
      </c>
      <c r="E401" t="s">
        <v>414</v>
      </c>
      <c r="F401" t="s">
        <v>488</v>
      </c>
      <c r="G401" t="s">
        <v>489</v>
      </c>
      <c r="H401" t="s">
        <v>41</v>
      </c>
      <c r="I401">
        <v>1</v>
      </c>
      <c r="J401" s="4">
        <v>42206</v>
      </c>
      <c r="K401" s="4">
        <v>42206</v>
      </c>
      <c r="L401" s="5">
        <v>0.61458333333333337</v>
      </c>
      <c r="M401" s="5">
        <v>0.6875</v>
      </c>
      <c r="N401">
        <v>55.530740000000002</v>
      </c>
      <c r="O401">
        <v>13.879630000000001</v>
      </c>
      <c r="P401">
        <v>429282</v>
      </c>
      <c r="Q401">
        <v>6154424</v>
      </c>
      <c r="R401" t="s">
        <v>490</v>
      </c>
      <c r="S401">
        <v>310</v>
      </c>
      <c r="T401" t="s">
        <v>499</v>
      </c>
      <c r="U401" t="s">
        <v>492</v>
      </c>
      <c r="V401" t="s">
        <v>493</v>
      </c>
      <c r="W401" t="s">
        <v>494</v>
      </c>
      <c r="X401" t="s">
        <v>494</v>
      </c>
      <c r="Y401" t="s">
        <v>822</v>
      </c>
      <c r="Z401">
        <v>1</v>
      </c>
      <c r="AA401">
        <v>1</v>
      </c>
      <c r="AE401" t="s">
        <v>42</v>
      </c>
      <c r="AF401" t="s">
        <v>496</v>
      </c>
      <c r="AG401" t="b">
        <v>0</v>
      </c>
      <c r="AH401" t="b">
        <v>0</v>
      </c>
      <c r="AI401" t="b">
        <v>0</v>
      </c>
      <c r="AK401" t="s">
        <v>497</v>
      </c>
      <c r="AL401" t="b">
        <v>0</v>
      </c>
      <c r="AM401" t="b">
        <v>0</v>
      </c>
    </row>
    <row r="402" spans="1:39">
      <c r="A402" t="s">
        <v>1126</v>
      </c>
      <c r="B402" t="b">
        <v>1</v>
      </c>
      <c r="C402">
        <v>102993</v>
      </c>
      <c r="D402" t="s">
        <v>384</v>
      </c>
      <c r="E402" t="s">
        <v>385</v>
      </c>
      <c r="F402" t="s">
        <v>488</v>
      </c>
      <c r="G402" t="s">
        <v>489</v>
      </c>
      <c r="H402" t="s">
        <v>85</v>
      </c>
      <c r="I402">
        <v>1</v>
      </c>
      <c r="J402" s="4">
        <v>42540</v>
      </c>
      <c r="K402" s="4">
        <v>42540</v>
      </c>
      <c r="L402" s="5">
        <v>0.375</v>
      </c>
      <c r="M402" s="5">
        <v>0.375</v>
      </c>
      <c r="N402">
        <v>55.54081</v>
      </c>
      <c r="O402">
        <v>13.95609</v>
      </c>
      <c r="P402">
        <v>434125</v>
      </c>
      <c r="Q402">
        <v>6155470</v>
      </c>
      <c r="R402" t="s">
        <v>490</v>
      </c>
      <c r="S402">
        <v>1500</v>
      </c>
      <c r="T402" t="s">
        <v>507</v>
      </c>
      <c r="U402" t="s">
        <v>508</v>
      </c>
      <c r="V402" t="s">
        <v>504</v>
      </c>
      <c r="W402" t="s">
        <v>494</v>
      </c>
      <c r="X402" t="s">
        <v>494</v>
      </c>
      <c r="Y402" t="s">
        <v>536</v>
      </c>
      <c r="Z402">
        <v>1</v>
      </c>
      <c r="AA402">
        <v>1</v>
      </c>
      <c r="AD402" t="s">
        <v>725</v>
      </c>
      <c r="AE402" t="s">
        <v>538</v>
      </c>
      <c r="AF402" t="s">
        <v>496</v>
      </c>
      <c r="AG402" t="b">
        <v>0</v>
      </c>
      <c r="AH402" t="b">
        <v>0</v>
      </c>
      <c r="AI402" t="b">
        <v>0</v>
      </c>
      <c r="AK402" t="s">
        <v>497</v>
      </c>
      <c r="AL402" t="b">
        <v>0</v>
      </c>
      <c r="AM402" t="b">
        <v>0</v>
      </c>
    </row>
    <row r="403" spans="1:39">
      <c r="A403" t="s">
        <v>1127</v>
      </c>
      <c r="B403" t="b">
        <v>1</v>
      </c>
      <c r="C403">
        <v>102990</v>
      </c>
      <c r="D403" t="s">
        <v>39</v>
      </c>
      <c r="E403" t="s">
        <v>40</v>
      </c>
      <c r="F403" t="s">
        <v>488</v>
      </c>
      <c r="G403" t="s">
        <v>489</v>
      </c>
      <c r="H403" t="s">
        <v>41</v>
      </c>
      <c r="I403">
        <v>1</v>
      </c>
      <c r="J403" s="4">
        <v>43261</v>
      </c>
      <c r="K403" s="4">
        <v>43261</v>
      </c>
      <c r="L403" s="5">
        <v>0.36458333333333331</v>
      </c>
      <c r="M403" s="5">
        <v>0.39583333333333331</v>
      </c>
      <c r="N403">
        <v>55.526490000000003</v>
      </c>
      <c r="O403">
        <v>13.9009</v>
      </c>
      <c r="P403">
        <v>430617</v>
      </c>
      <c r="Q403">
        <v>6153930</v>
      </c>
      <c r="R403" t="s">
        <v>490</v>
      </c>
      <c r="S403">
        <v>100</v>
      </c>
      <c r="T403" t="s">
        <v>1084</v>
      </c>
      <c r="U403" t="s">
        <v>525</v>
      </c>
      <c r="V403" t="s">
        <v>504</v>
      </c>
      <c r="W403" t="s">
        <v>494</v>
      </c>
      <c r="X403" t="s">
        <v>494</v>
      </c>
      <c r="Y403" t="s">
        <v>1085</v>
      </c>
      <c r="Z403">
        <v>1</v>
      </c>
      <c r="AA403">
        <v>1</v>
      </c>
      <c r="AE403" t="s">
        <v>42</v>
      </c>
      <c r="AF403" t="s">
        <v>496</v>
      </c>
      <c r="AG403" t="b">
        <v>0</v>
      </c>
      <c r="AH403" t="b">
        <v>0</v>
      </c>
      <c r="AI403" t="b">
        <v>0</v>
      </c>
      <c r="AK403" t="s">
        <v>497</v>
      </c>
      <c r="AL403" t="b">
        <v>0</v>
      </c>
      <c r="AM403" t="b">
        <v>0</v>
      </c>
    </row>
    <row r="404" spans="1:39">
      <c r="A404" t="s">
        <v>1128</v>
      </c>
      <c r="B404" t="b">
        <v>1</v>
      </c>
      <c r="C404">
        <v>102977</v>
      </c>
      <c r="D404" t="s">
        <v>47</v>
      </c>
      <c r="E404" t="s">
        <v>48</v>
      </c>
      <c r="F404" t="s">
        <v>488</v>
      </c>
      <c r="G404" t="s">
        <v>489</v>
      </c>
      <c r="H404" t="s">
        <v>46</v>
      </c>
      <c r="I404">
        <v>1</v>
      </c>
      <c r="J404" s="4">
        <v>43297</v>
      </c>
      <c r="K404" s="4">
        <v>43297</v>
      </c>
      <c r="L404" s="5">
        <v>0.48958333333333331</v>
      </c>
      <c r="M404" s="5">
        <v>0.51388888888888884</v>
      </c>
      <c r="N404">
        <v>55.530740000000002</v>
      </c>
      <c r="O404">
        <v>13.879630000000001</v>
      </c>
      <c r="P404">
        <v>429282</v>
      </c>
      <c r="Q404">
        <v>6154424</v>
      </c>
      <c r="R404" t="s">
        <v>490</v>
      </c>
      <c r="S404">
        <v>310</v>
      </c>
      <c r="T404" t="s">
        <v>499</v>
      </c>
      <c r="U404" t="s">
        <v>492</v>
      </c>
      <c r="V404" t="s">
        <v>493</v>
      </c>
      <c r="W404" t="s">
        <v>494</v>
      </c>
      <c r="X404" t="s">
        <v>494</v>
      </c>
      <c r="Y404" t="s">
        <v>631</v>
      </c>
      <c r="Z404">
        <v>1</v>
      </c>
      <c r="AA404">
        <v>1</v>
      </c>
      <c r="AE404" t="s">
        <v>538</v>
      </c>
      <c r="AF404" t="s">
        <v>496</v>
      </c>
      <c r="AG404" t="b">
        <v>0</v>
      </c>
      <c r="AH404" t="b">
        <v>0</v>
      </c>
      <c r="AI404" t="b">
        <v>0</v>
      </c>
      <c r="AK404" t="s">
        <v>497</v>
      </c>
      <c r="AL404" t="b">
        <v>0</v>
      </c>
      <c r="AM404" t="b">
        <v>0</v>
      </c>
    </row>
    <row r="405" spans="1:39">
      <c r="A405" t="s">
        <v>1129</v>
      </c>
      <c r="B405" t="b">
        <v>1</v>
      </c>
      <c r="C405">
        <v>102104</v>
      </c>
      <c r="D405" t="s">
        <v>126</v>
      </c>
      <c r="E405" t="s">
        <v>127</v>
      </c>
      <c r="F405" t="s">
        <v>488</v>
      </c>
      <c r="G405" t="s">
        <v>489</v>
      </c>
      <c r="H405" t="s">
        <v>46</v>
      </c>
      <c r="I405">
        <v>1</v>
      </c>
      <c r="J405" s="4">
        <v>43587</v>
      </c>
      <c r="K405" s="4">
        <v>43587</v>
      </c>
      <c r="L405" s="5">
        <v>0.54166666666666663</v>
      </c>
      <c r="M405" s="5">
        <v>0.5625</v>
      </c>
      <c r="N405">
        <v>55.5351</v>
      </c>
      <c r="O405">
        <v>13.95862</v>
      </c>
      <c r="P405">
        <v>434276</v>
      </c>
      <c r="Q405">
        <v>6154832</v>
      </c>
      <c r="R405" t="s">
        <v>490</v>
      </c>
      <c r="S405">
        <v>400</v>
      </c>
      <c r="T405" t="s">
        <v>563</v>
      </c>
      <c r="U405" t="s">
        <v>508</v>
      </c>
      <c r="V405" t="s">
        <v>504</v>
      </c>
      <c r="W405" t="s">
        <v>494</v>
      </c>
      <c r="X405" t="s">
        <v>494</v>
      </c>
      <c r="Y405" t="s">
        <v>536</v>
      </c>
      <c r="Z405">
        <v>2</v>
      </c>
      <c r="AA405">
        <v>2</v>
      </c>
      <c r="AE405" t="s">
        <v>538</v>
      </c>
      <c r="AF405" t="s">
        <v>496</v>
      </c>
      <c r="AG405" t="b">
        <v>0</v>
      </c>
      <c r="AH405" t="b">
        <v>0</v>
      </c>
      <c r="AI405" t="b">
        <v>0</v>
      </c>
      <c r="AK405" t="s">
        <v>497</v>
      </c>
      <c r="AL405" t="b">
        <v>0</v>
      </c>
      <c r="AM405" t="b">
        <v>0</v>
      </c>
    </row>
    <row r="406" spans="1:39">
      <c r="A406" t="s">
        <v>1130</v>
      </c>
      <c r="B406" t="b">
        <v>1</v>
      </c>
      <c r="C406">
        <v>100129</v>
      </c>
      <c r="D406" t="s">
        <v>404</v>
      </c>
      <c r="E406" t="s">
        <v>405</v>
      </c>
      <c r="F406" t="s">
        <v>488</v>
      </c>
      <c r="G406" t="s">
        <v>489</v>
      </c>
      <c r="H406" t="s">
        <v>81</v>
      </c>
      <c r="I406">
        <v>1</v>
      </c>
      <c r="J406" s="4">
        <v>45825</v>
      </c>
      <c r="K406" s="4">
        <v>45825</v>
      </c>
      <c r="L406" s="5">
        <v>0.625</v>
      </c>
      <c r="M406" s="5">
        <v>0.625</v>
      </c>
      <c r="N406">
        <v>55.54081</v>
      </c>
      <c r="O406">
        <v>13.95609</v>
      </c>
      <c r="P406">
        <v>434125</v>
      </c>
      <c r="Q406">
        <v>6155470</v>
      </c>
      <c r="R406" t="s">
        <v>490</v>
      </c>
      <c r="S406">
        <v>1500</v>
      </c>
      <c r="T406" t="s">
        <v>507</v>
      </c>
      <c r="U406" t="s">
        <v>508</v>
      </c>
      <c r="V406" t="s">
        <v>504</v>
      </c>
      <c r="W406" t="s">
        <v>494</v>
      </c>
      <c r="X406" t="s">
        <v>494</v>
      </c>
      <c r="Y406" t="s">
        <v>572</v>
      </c>
      <c r="Z406">
        <v>1</v>
      </c>
      <c r="AA406">
        <v>1</v>
      </c>
      <c r="AE406" t="s">
        <v>42</v>
      </c>
      <c r="AF406" t="s">
        <v>496</v>
      </c>
      <c r="AG406" t="b">
        <v>0</v>
      </c>
      <c r="AH406" t="b">
        <v>0</v>
      </c>
      <c r="AI406" t="b">
        <v>0</v>
      </c>
      <c r="AK406" t="s">
        <v>497</v>
      </c>
      <c r="AL406" t="b">
        <v>0</v>
      </c>
      <c r="AM406" t="b">
        <v>0</v>
      </c>
    </row>
    <row r="407" spans="1:39">
      <c r="A407" t="s">
        <v>1131</v>
      </c>
      <c r="B407" t="b">
        <v>1</v>
      </c>
      <c r="C407">
        <v>103020</v>
      </c>
      <c r="D407" t="s">
        <v>328</v>
      </c>
      <c r="E407" t="s">
        <v>329</v>
      </c>
      <c r="F407" t="s">
        <v>488</v>
      </c>
      <c r="G407" t="s">
        <v>489</v>
      </c>
      <c r="H407" t="s">
        <v>41</v>
      </c>
      <c r="I407">
        <v>1</v>
      </c>
      <c r="J407" s="4">
        <v>45763</v>
      </c>
      <c r="K407" s="4">
        <v>45763</v>
      </c>
      <c r="N407">
        <v>55.555990000000001</v>
      </c>
      <c r="O407">
        <v>13.8973</v>
      </c>
      <c r="P407">
        <v>430442</v>
      </c>
      <c r="Q407">
        <v>6157216</v>
      </c>
      <c r="R407" t="s">
        <v>490</v>
      </c>
      <c r="S407">
        <v>400</v>
      </c>
      <c r="T407" t="s">
        <v>575</v>
      </c>
      <c r="U407" t="s">
        <v>532</v>
      </c>
      <c r="V407" t="s">
        <v>504</v>
      </c>
      <c r="W407" t="s">
        <v>494</v>
      </c>
      <c r="X407" t="s">
        <v>494</v>
      </c>
      <c r="Y407" t="s">
        <v>526</v>
      </c>
      <c r="Z407">
        <v>1</v>
      </c>
      <c r="AA407">
        <v>1</v>
      </c>
      <c r="AE407" t="s">
        <v>42</v>
      </c>
      <c r="AF407" t="s">
        <v>496</v>
      </c>
      <c r="AG407" t="b">
        <v>0</v>
      </c>
      <c r="AH407" t="b">
        <v>0</v>
      </c>
      <c r="AI407" t="b">
        <v>0</v>
      </c>
      <c r="AK407" t="s">
        <v>497</v>
      </c>
      <c r="AL407" t="b">
        <v>0</v>
      </c>
      <c r="AM407" t="b">
        <v>0</v>
      </c>
    </row>
    <row r="408" spans="1:39">
      <c r="A408" t="s">
        <v>1132</v>
      </c>
      <c r="B408" t="b">
        <v>1</v>
      </c>
      <c r="C408">
        <v>102990</v>
      </c>
      <c r="D408" t="s">
        <v>39</v>
      </c>
      <c r="E408" t="s">
        <v>40</v>
      </c>
      <c r="F408" t="s">
        <v>488</v>
      </c>
      <c r="G408" t="s">
        <v>489</v>
      </c>
      <c r="H408" t="s">
        <v>41</v>
      </c>
      <c r="I408">
        <v>1</v>
      </c>
      <c r="J408" s="4">
        <v>45779</v>
      </c>
      <c r="K408" s="4">
        <v>45779</v>
      </c>
      <c r="L408" s="5">
        <v>0.45833333333333331</v>
      </c>
      <c r="M408" s="5">
        <v>0.45833333333333331</v>
      </c>
      <c r="N408">
        <v>55.547759999999997</v>
      </c>
      <c r="O408">
        <v>13.86754</v>
      </c>
      <c r="P408">
        <v>428550</v>
      </c>
      <c r="Q408">
        <v>6156331</v>
      </c>
      <c r="R408" t="s">
        <v>490</v>
      </c>
      <c r="S408">
        <v>627</v>
      </c>
      <c r="T408" t="s">
        <v>541</v>
      </c>
      <c r="U408" t="s">
        <v>525</v>
      </c>
      <c r="V408" t="s">
        <v>504</v>
      </c>
      <c r="W408" t="s">
        <v>494</v>
      </c>
      <c r="X408" t="s">
        <v>494</v>
      </c>
      <c r="Y408" t="s">
        <v>536</v>
      </c>
      <c r="Z408">
        <v>1</v>
      </c>
      <c r="AA408">
        <v>1</v>
      </c>
      <c r="AE408" t="s">
        <v>42</v>
      </c>
      <c r="AF408" t="s">
        <v>496</v>
      </c>
      <c r="AG408" t="b">
        <v>0</v>
      </c>
      <c r="AH408" t="b">
        <v>0</v>
      </c>
      <c r="AI408" t="b">
        <v>0</v>
      </c>
      <c r="AK408" t="s">
        <v>497</v>
      </c>
      <c r="AL408" t="b">
        <v>0</v>
      </c>
      <c r="AM408" t="b">
        <v>0</v>
      </c>
    </row>
    <row r="409" spans="1:39">
      <c r="A409" t="s">
        <v>1133</v>
      </c>
      <c r="B409" t="b">
        <v>1</v>
      </c>
      <c r="C409">
        <v>102999</v>
      </c>
      <c r="D409" t="s">
        <v>374</v>
      </c>
      <c r="E409" t="s">
        <v>375</v>
      </c>
      <c r="F409" t="s">
        <v>488</v>
      </c>
      <c r="G409" t="s">
        <v>489</v>
      </c>
      <c r="H409" t="s">
        <v>41</v>
      </c>
      <c r="I409">
        <v>1</v>
      </c>
      <c r="J409" s="4">
        <v>45374</v>
      </c>
      <c r="K409" s="4">
        <v>45374</v>
      </c>
      <c r="L409" s="5">
        <v>0.74513888888888891</v>
      </c>
      <c r="M409" s="5">
        <v>0.74513888888888891</v>
      </c>
      <c r="N409">
        <v>55.556199999999997</v>
      </c>
      <c r="O409">
        <v>13.93919</v>
      </c>
      <c r="P409">
        <v>433085</v>
      </c>
      <c r="Q409">
        <v>6157198</v>
      </c>
      <c r="R409" t="s">
        <v>490</v>
      </c>
      <c r="S409">
        <v>25</v>
      </c>
      <c r="T409" t="s">
        <v>554</v>
      </c>
      <c r="U409" t="s">
        <v>508</v>
      </c>
      <c r="V409" t="s">
        <v>504</v>
      </c>
      <c r="W409" t="s">
        <v>494</v>
      </c>
      <c r="X409" t="s">
        <v>494</v>
      </c>
      <c r="Y409" t="s">
        <v>555</v>
      </c>
      <c r="Z409">
        <v>1</v>
      </c>
      <c r="AA409">
        <v>1</v>
      </c>
      <c r="AE409" t="s">
        <v>42</v>
      </c>
      <c r="AF409" t="s">
        <v>496</v>
      </c>
      <c r="AG409" t="b">
        <v>0</v>
      </c>
      <c r="AH409" t="b">
        <v>0</v>
      </c>
      <c r="AI409" t="b">
        <v>0</v>
      </c>
      <c r="AK409" t="s">
        <v>497</v>
      </c>
      <c r="AL409" t="b">
        <v>0</v>
      </c>
      <c r="AM409" t="b">
        <v>0</v>
      </c>
    </row>
    <row r="410" spans="1:39">
      <c r="A410" t="s">
        <v>1134</v>
      </c>
      <c r="B410" t="b">
        <v>1</v>
      </c>
      <c r="C410">
        <v>102990</v>
      </c>
      <c r="D410" t="s">
        <v>39</v>
      </c>
      <c r="E410" t="s">
        <v>40</v>
      </c>
      <c r="F410" t="s">
        <v>488</v>
      </c>
      <c r="G410" t="s">
        <v>489</v>
      </c>
      <c r="H410" t="s">
        <v>41</v>
      </c>
      <c r="I410">
        <v>1</v>
      </c>
      <c r="J410" s="4">
        <v>45029</v>
      </c>
      <c r="K410" s="4">
        <v>45029</v>
      </c>
      <c r="L410" s="5">
        <v>0.52083333333333337</v>
      </c>
      <c r="M410" s="5">
        <v>0.5625</v>
      </c>
      <c r="N410">
        <v>55.547759999999997</v>
      </c>
      <c r="O410">
        <v>13.86754</v>
      </c>
      <c r="P410">
        <v>428550</v>
      </c>
      <c r="Q410">
        <v>6156331</v>
      </c>
      <c r="R410" t="s">
        <v>490</v>
      </c>
      <c r="S410">
        <v>627</v>
      </c>
      <c r="T410" t="s">
        <v>541</v>
      </c>
      <c r="U410" t="s">
        <v>525</v>
      </c>
      <c r="V410" t="s">
        <v>504</v>
      </c>
      <c r="W410" t="s">
        <v>494</v>
      </c>
      <c r="X410" t="s">
        <v>494</v>
      </c>
      <c r="Y410" t="s">
        <v>645</v>
      </c>
      <c r="AE410" t="s">
        <v>42</v>
      </c>
      <c r="AF410" t="s">
        <v>496</v>
      </c>
      <c r="AG410" t="b">
        <v>0</v>
      </c>
      <c r="AH410" t="b">
        <v>0</v>
      </c>
      <c r="AI410" t="b">
        <v>0</v>
      </c>
      <c r="AK410" t="s">
        <v>497</v>
      </c>
      <c r="AL410" t="b">
        <v>0</v>
      </c>
      <c r="AM410" t="b">
        <v>0</v>
      </c>
    </row>
    <row r="411" spans="1:39">
      <c r="A411" t="s">
        <v>1135</v>
      </c>
      <c r="B411" t="b">
        <v>1</v>
      </c>
      <c r="C411">
        <v>100049</v>
      </c>
      <c r="D411" t="s">
        <v>295</v>
      </c>
      <c r="E411" t="s">
        <v>296</v>
      </c>
      <c r="F411" t="s">
        <v>488</v>
      </c>
      <c r="G411" t="s">
        <v>489</v>
      </c>
      <c r="H411" t="s">
        <v>46</v>
      </c>
      <c r="I411">
        <v>1</v>
      </c>
      <c r="J411" s="4">
        <v>45038</v>
      </c>
      <c r="K411" s="4">
        <v>45038</v>
      </c>
      <c r="N411">
        <v>55.547759999999997</v>
      </c>
      <c r="O411">
        <v>13.86754</v>
      </c>
      <c r="P411">
        <v>428550</v>
      </c>
      <c r="Q411">
        <v>6156331</v>
      </c>
      <c r="R411" t="s">
        <v>490</v>
      </c>
      <c r="S411">
        <v>627</v>
      </c>
      <c r="T411" t="s">
        <v>541</v>
      </c>
      <c r="U411" t="s">
        <v>525</v>
      </c>
      <c r="V411" t="s">
        <v>504</v>
      </c>
      <c r="W411" t="s">
        <v>494</v>
      </c>
      <c r="X411" t="s">
        <v>494</v>
      </c>
      <c r="Y411" t="s">
        <v>1136</v>
      </c>
      <c r="Z411">
        <v>1</v>
      </c>
      <c r="AA411">
        <v>1</v>
      </c>
      <c r="AE411" t="s">
        <v>42</v>
      </c>
      <c r="AF411" t="s">
        <v>496</v>
      </c>
      <c r="AG411" t="b">
        <v>0</v>
      </c>
      <c r="AH411" t="b">
        <v>0</v>
      </c>
      <c r="AI411" t="b">
        <v>0</v>
      </c>
      <c r="AK411" t="s">
        <v>497</v>
      </c>
      <c r="AL411" t="b">
        <v>0</v>
      </c>
      <c r="AM411" t="b">
        <v>0</v>
      </c>
    </row>
    <row r="412" spans="1:39">
      <c r="A412" t="s">
        <v>1137</v>
      </c>
      <c r="B412" t="b">
        <v>1</v>
      </c>
      <c r="C412">
        <v>102977</v>
      </c>
      <c r="D412" t="s">
        <v>47</v>
      </c>
      <c r="E412" t="s">
        <v>48</v>
      </c>
      <c r="F412" t="s">
        <v>488</v>
      </c>
      <c r="G412" t="s">
        <v>489</v>
      </c>
      <c r="H412" t="s">
        <v>46</v>
      </c>
      <c r="I412">
        <v>1</v>
      </c>
      <c r="J412" s="4">
        <v>45011</v>
      </c>
      <c r="K412" s="4">
        <v>45011</v>
      </c>
      <c r="N412">
        <v>55.556199999999997</v>
      </c>
      <c r="O412">
        <v>13.93919</v>
      </c>
      <c r="P412">
        <v>433085</v>
      </c>
      <c r="Q412">
        <v>6157198</v>
      </c>
      <c r="R412" t="s">
        <v>490</v>
      </c>
      <c r="S412">
        <v>25</v>
      </c>
      <c r="T412" t="s">
        <v>554</v>
      </c>
      <c r="U412" t="s">
        <v>508</v>
      </c>
      <c r="V412" t="s">
        <v>504</v>
      </c>
      <c r="W412" t="s">
        <v>494</v>
      </c>
      <c r="X412" t="s">
        <v>494</v>
      </c>
      <c r="Y412" t="s">
        <v>555</v>
      </c>
      <c r="Z412">
        <v>1</v>
      </c>
      <c r="AA412">
        <v>1</v>
      </c>
      <c r="AE412" t="s">
        <v>42</v>
      </c>
      <c r="AF412" t="s">
        <v>496</v>
      </c>
      <c r="AG412" t="b">
        <v>0</v>
      </c>
      <c r="AH412" t="b">
        <v>0</v>
      </c>
      <c r="AI412" t="b">
        <v>0</v>
      </c>
      <c r="AK412" t="s">
        <v>497</v>
      </c>
      <c r="AL412" t="b">
        <v>0</v>
      </c>
      <c r="AM412" t="b">
        <v>0</v>
      </c>
    </row>
    <row r="413" spans="1:39">
      <c r="A413" t="s">
        <v>1138</v>
      </c>
      <c r="B413" t="b">
        <v>1</v>
      </c>
      <c r="C413">
        <v>102105</v>
      </c>
      <c r="D413" t="s">
        <v>110</v>
      </c>
      <c r="E413" t="s">
        <v>111</v>
      </c>
      <c r="F413" t="s">
        <v>488</v>
      </c>
      <c r="G413" t="s">
        <v>489</v>
      </c>
      <c r="H413" t="s">
        <v>46</v>
      </c>
      <c r="I413">
        <v>1</v>
      </c>
      <c r="J413" s="4">
        <v>44288</v>
      </c>
      <c r="K413" s="4">
        <v>44288</v>
      </c>
      <c r="L413" s="5">
        <v>0.3125</v>
      </c>
      <c r="M413" s="5">
        <v>0.35416666666666669</v>
      </c>
      <c r="N413">
        <v>55.5351</v>
      </c>
      <c r="O413">
        <v>13.95862</v>
      </c>
      <c r="P413">
        <v>434276</v>
      </c>
      <c r="Q413">
        <v>6154832</v>
      </c>
      <c r="R413" t="s">
        <v>490</v>
      </c>
      <c r="S413">
        <v>400</v>
      </c>
      <c r="T413" t="s">
        <v>563</v>
      </c>
      <c r="U413" t="s">
        <v>508</v>
      </c>
      <c r="V413" t="s">
        <v>504</v>
      </c>
      <c r="W413" t="s">
        <v>494</v>
      </c>
      <c r="X413" t="s">
        <v>494</v>
      </c>
      <c r="Y413" t="s">
        <v>536</v>
      </c>
      <c r="Z413">
        <v>2</v>
      </c>
      <c r="AA413">
        <v>2</v>
      </c>
      <c r="AD413" t="s">
        <v>527</v>
      </c>
      <c r="AE413" t="s">
        <v>538</v>
      </c>
      <c r="AF413" t="s">
        <v>496</v>
      </c>
      <c r="AG413" t="b">
        <v>0</v>
      </c>
      <c r="AH413" t="b">
        <v>0</v>
      </c>
      <c r="AI413" t="b">
        <v>0</v>
      </c>
      <c r="AK413" t="s">
        <v>497</v>
      </c>
      <c r="AL413" t="b">
        <v>0</v>
      </c>
      <c r="AM413" t="b">
        <v>0</v>
      </c>
    </row>
    <row r="414" spans="1:39">
      <c r="A414" t="s">
        <v>1139</v>
      </c>
      <c r="B414" t="b">
        <v>1</v>
      </c>
      <c r="C414">
        <v>102940</v>
      </c>
      <c r="D414" t="s">
        <v>98</v>
      </c>
      <c r="E414" t="s">
        <v>99</v>
      </c>
      <c r="F414" t="s">
        <v>488</v>
      </c>
      <c r="G414" t="s">
        <v>489</v>
      </c>
      <c r="H414" t="s">
        <v>46</v>
      </c>
      <c r="I414">
        <v>1</v>
      </c>
      <c r="J414" s="4">
        <v>44673</v>
      </c>
      <c r="K414" s="4">
        <v>44673</v>
      </c>
      <c r="L414" s="5">
        <v>0.75694444444444442</v>
      </c>
      <c r="M414" s="5">
        <v>0.77777777777777779</v>
      </c>
      <c r="N414">
        <v>55.515189999999997</v>
      </c>
      <c r="O414">
        <v>13.899330000000001</v>
      </c>
      <c r="P414">
        <v>430498</v>
      </c>
      <c r="Q414">
        <v>6152673</v>
      </c>
      <c r="R414" t="s">
        <v>490</v>
      </c>
      <c r="S414">
        <v>125</v>
      </c>
      <c r="T414" t="s">
        <v>552</v>
      </c>
      <c r="U414" t="s">
        <v>525</v>
      </c>
      <c r="V414" t="s">
        <v>504</v>
      </c>
      <c r="W414" t="s">
        <v>494</v>
      </c>
      <c r="X414" t="s">
        <v>494</v>
      </c>
      <c r="Y414" t="s">
        <v>536</v>
      </c>
      <c r="Z414">
        <v>2</v>
      </c>
      <c r="AA414">
        <v>2</v>
      </c>
      <c r="AD414" t="s">
        <v>527</v>
      </c>
      <c r="AE414" t="s">
        <v>538</v>
      </c>
      <c r="AF414" t="s">
        <v>496</v>
      </c>
      <c r="AG414" t="b">
        <v>0</v>
      </c>
      <c r="AH414" t="b">
        <v>0</v>
      </c>
      <c r="AI414" t="b">
        <v>0</v>
      </c>
      <c r="AK414" t="s">
        <v>497</v>
      </c>
      <c r="AL414" t="b">
        <v>0</v>
      </c>
      <c r="AM414" t="b">
        <v>0</v>
      </c>
    </row>
    <row r="415" spans="1:39">
      <c r="A415" t="s">
        <v>1140</v>
      </c>
      <c r="B415" t="b">
        <v>1</v>
      </c>
      <c r="C415">
        <v>102972</v>
      </c>
      <c r="D415" t="s">
        <v>55</v>
      </c>
      <c r="E415" t="s">
        <v>56</v>
      </c>
      <c r="F415" t="s">
        <v>488</v>
      </c>
      <c r="G415" t="s">
        <v>489</v>
      </c>
      <c r="H415" t="s">
        <v>41</v>
      </c>
      <c r="I415">
        <v>1</v>
      </c>
      <c r="J415" s="4">
        <v>44751</v>
      </c>
      <c r="K415" s="4">
        <v>44751</v>
      </c>
      <c r="L415" s="5">
        <v>0.24374999999999999</v>
      </c>
      <c r="M415" s="5">
        <v>0.24374999999999999</v>
      </c>
      <c r="N415">
        <v>55.547969999999999</v>
      </c>
      <c r="O415">
        <v>13.93408</v>
      </c>
      <c r="P415">
        <v>432749</v>
      </c>
      <c r="Q415">
        <v>6156288</v>
      </c>
      <c r="R415" t="s">
        <v>490</v>
      </c>
      <c r="S415">
        <v>73</v>
      </c>
      <c r="T415" t="s">
        <v>1141</v>
      </c>
      <c r="U415" t="s">
        <v>508</v>
      </c>
      <c r="V415" t="s">
        <v>504</v>
      </c>
      <c r="W415" t="s">
        <v>494</v>
      </c>
      <c r="X415" t="s">
        <v>494</v>
      </c>
      <c r="Y415" t="s">
        <v>1142</v>
      </c>
      <c r="Z415">
        <v>1</v>
      </c>
      <c r="AA415">
        <v>1</v>
      </c>
      <c r="AE415" t="s">
        <v>42</v>
      </c>
      <c r="AF415" t="s">
        <v>496</v>
      </c>
      <c r="AG415" t="b">
        <v>0</v>
      </c>
      <c r="AH415" t="b">
        <v>0</v>
      </c>
      <c r="AI415" t="b">
        <v>0</v>
      </c>
      <c r="AK415" t="s">
        <v>497</v>
      </c>
      <c r="AL415" t="b">
        <v>0</v>
      </c>
      <c r="AM415" t="b">
        <v>0</v>
      </c>
    </row>
    <row r="416" spans="1:39">
      <c r="A416" t="s">
        <v>1143</v>
      </c>
      <c r="B416" t="b">
        <v>1</v>
      </c>
      <c r="C416">
        <v>102977</v>
      </c>
      <c r="D416" t="s">
        <v>47</v>
      </c>
      <c r="E416" t="s">
        <v>48</v>
      </c>
      <c r="F416" t="s">
        <v>488</v>
      </c>
      <c r="G416" t="s">
        <v>489</v>
      </c>
      <c r="H416" t="s">
        <v>46</v>
      </c>
      <c r="I416">
        <v>1</v>
      </c>
      <c r="J416" s="4">
        <v>44620</v>
      </c>
      <c r="K416" s="4">
        <v>44620</v>
      </c>
      <c r="L416" s="5">
        <v>0.30555555555555558</v>
      </c>
      <c r="M416" s="5">
        <v>0.32291666666666669</v>
      </c>
      <c r="N416">
        <v>55.530740000000002</v>
      </c>
      <c r="O416">
        <v>13.879630000000001</v>
      </c>
      <c r="P416">
        <v>429282</v>
      </c>
      <c r="Q416">
        <v>6154424</v>
      </c>
      <c r="R416" t="s">
        <v>490</v>
      </c>
      <c r="S416">
        <v>310</v>
      </c>
      <c r="T416" t="s">
        <v>499</v>
      </c>
      <c r="U416" t="s">
        <v>492</v>
      </c>
      <c r="V416" t="s">
        <v>493</v>
      </c>
      <c r="W416" t="s">
        <v>494</v>
      </c>
      <c r="X416" t="s">
        <v>494</v>
      </c>
      <c r="Y416" t="s">
        <v>712</v>
      </c>
      <c r="Z416">
        <v>1</v>
      </c>
      <c r="AA416">
        <v>1</v>
      </c>
      <c r="AE416" t="s">
        <v>42</v>
      </c>
      <c r="AF416" t="s">
        <v>496</v>
      </c>
      <c r="AG416" t="b">
        <v>0</v>
      </c>
      <c r="AH416" t="b">
        <v>0</v>
      </c>
      <c r="AI416" t="b">
        <v>0</v>
      </c>
      <c r="AK416" t="s">
        <v>497</v>
      </c>
      <c r="AL416" t="b">
        <v>0</v>
      </c>
      <c r="AM416" t="b">
        <v>0</v>
      </c>
    </row>
    <row r="417" spans="1:39">
      <c r="A417" t="s">
        <v>1144</v>
      </c>
      <c r="B417" t="b">
        <v>1</v>
      </c>
      <c r="C417">
        <v>103020</v>
      </c>
      <c r="D417" t="s">
        <v>328</v>
      </c>
      <c r="E417" t="s">
        <v>329</v>
      </c>
      <c r="F417" t="s">
        <v>488</v>
      </c>
      <c r="G417" t="s">
        <v>489</v>
      </c>
      <c r="H417" t="s">
        <v>41</v>
      </c>
      <c r="I417">
        <v>1</v>
      </c>
      <c r="J417" s="4">
        <v>39173</v>
      </c>
      <c r="K417" s="4">
        <v>39173</v>
      </c>
      <c r="L417" s="5">
        <v>0</v>
      </c>
      <c r="M417" s="5">
        <v>0</v>
      </c>
      <c r="N417">
        <v>55.555309999999999</v>
      </c>
      <c r="O417">
        <v>13.8569</v>
      </c>
      <c r="P417">
        <v>427893</v>
      </c>
      <c r="Q417">
        <v>6157182</v>
      </c>
      <c r="R417" t="s">
        <v>490</v>
      </c>
      <c r="S417">
        <v>140</v>
      </c>
      <c r="T417" t="s">
        <v>491</v>
      </c>
      <c r="U417" t="s">
        <v>492</v>
      </c>
      <c r="V417" t="s">
        <v>493</v>
      </c>
      <c r="W417" t="s">
        <v>494</v>
      </c>
      <c r="X417" t="s">
        <v>494</v>
      </c>
      <c r="Y417" t="s">
        <v>495</v>
      </c>
      <c r="Z417">
        <v>2</v>
      </c>
      <c r="AA417">
        <v>2</v>
      </c>
      <c r="AC417" t="s">
        <v>512</v>
      </c>
      <c r="AD417" t="s">
        <v>527</v>
      </c>
      <c r="AE417" t="s">
        <v>52</v>
      </c>
      <c r="AF417" t="s">
        <v>496</v>
      </c>
      <c r="AG417" t="b">
        <v>0</v>
      </c>
      <c r="AH417" t="b">
        <v>0</v>
      </c>
      <c r="AI417" t="b">
        <v>0</v>
      </c>
      <c r="AK417" t="s">
        <v>497</v>
      </c>
      <c r="AL417" t="b">
        <v>0</v>
      </c>
      <c r="AM417" t="b">
        <v>0</v>
      </c>
    </row>
    <row r="418" spans="1:39">
      <c r="A418" t="s">
        <v>1145</v>
      </c>
      <c r="B418" t="b">
        <v>1</v>
      </c>
      <c r="C418">
        <v>102990</v>
      </c>
      <c r="D418" t="s">
        <v>39</v>
      </c>
      <c r="E418" t="s">
        <v>40</v>
      </c>
      <c r="F418" t="s">
        <v>488</v>
      </c>
      <c r="G418" t="s">
        <v>489</v>
      </c>
      <c r="H418" t="s">
        <v>41</v>
      </c>
      <c r="I418">
        <v>1</v>
      </c>
      <c r="J418" s="4">
        <v>39263</v>
      </c>
      <c r="K418" s="4">
        <v>39263</v>
      </c>
      <c r="L418" s="5">
        <v>0.70833333333333337</v>
      </c>
      <c r="M418" s="5">
        <v>0.75</v>
      </c>
      <c r="N418">
        <v>55.530740000000002</v>
      </c>
      <c r="O418">
        <v>13.879630000000001</v>
      </c>
      <c r="P418">
        <v>429282</v>
      </c>
      <c r="Q418">
        <v>6154424</v>
      </c>
      <c r="R418" t="s">
        <v>490</v>
      </c>
      <c r="S418">
        <v>310</v>
      </c>
      <c r="T418" t="s">
        <v>499</v>
      </c>
      <c r="U418" t="s">
        <v>492</v>
      </c>
      <c r="V418" t="s">
        <v>493</v>
      </c>
      <c r="W418" t="s">
        <v>494</v>
      </c>
      <c r="X418" t="s">
        <v>494</v>
      </c>
      <c r="Y418" t="s">
        <v>1146</v>
      </c>
      <c r="Z418">
        <v>1</v>
      </c>
      <c r="AA418">
        <v>1</v>
      </c>
      <c r="AE418" t="s">
        <v>42</v>
      </c>
      <c r="AF418" t="s">
        <v>496</v>
      </c>
      <c r="AG418" t="b">
        <v>0</v>
      </c>
      <c r="AH418" t="b">
        <v>0</v>
      </c>
      <c r="AI418" t="b">
        <v>0</v>
      </c>
      <c r="AK418" t="s">
        <v>497</v>
      </c>
      <c r="AL418" t="b">
        <v>0</v>
      </c>
      <c r="AM418" t="b">
        <v>0</v>
      </c>
    </row>
    <row r="419" spans="1:39">
      <c r="A419" t="s">
        <v>1147</v>
      </c>
      <c r="B419" t="b">
        <v>1</v>
      </c>
      <c r="C419">
        <v>100049</v>
      </c>
      <c r="D419" t="s">
        <v>295</v>
      </c>
      <c r="E419" t="s">
        <v>296</v>
      </c>
      <c r="F419" t="s">
        <v>488</v>
      </c>
      <c r="G419" t="s">
        <v>489</v>
      </c>
      <c r="H419" t="s">
        <v>46</v>
      </c>
      <c r="I419">
        <v>1</v>
      </c>
      <c r="J419" s="4">
        <v>39474</v>
      </c>
      <c r="K419" s="4">
        <v>39474</v>
      </c>
      <c r="L419" s="5">
        <v>0</v>
      </c>
      <c r="M419" s="5">
        <v>0</v>
      </c>
      <c r="N419">
        <v>55.547759999999997</v>
      </c>
      <c r="O419">
        <v>13.86754</v>
      </c>
      <c r="P419">
        <v>428550</v>
      </c>
      <c r="Q419">
        <v>6156331</v>
      </c>
      <c r="R419" t="s">
        <v>490</v>
      </c>
      <c r="S419">
        <v>627</v>
      </c>
      <c r="T419" t="s">
        <v>541</v>
      </c>
      <c r="U419" t="s">
        <v>525</v>
      </c>
      <c r="V419" t="s">
        <v>504</v>
      </c>
      <c r="W419" t="s">
        <v>494</v>
      </c>
      <c r="X419" t="s">
        <v>494</v>
      </c>
      <c r="Y419" t="s">
        <v>830</v>
      </c>
      <c r="Z419">
        <v>2</v>
      </c>
      <c r="AA419">
        <v>2</v>
      </c>
      <c r="AE419" t="s">
        <v>42</v>
      </c>
      <c r="AF419" t="s">
        <v>496</v>
      </c>
      <c r="AG419" t="b">
        <v>0</v>
      </c>
      <c r="AH419" t="b">
        <v>0</v>
      </c>
      <c r="AI419" t="b">
        <v>0</v>
      </c>
      <c r="AK419" t="s">
        <v>497</v>
      </c>
      <c r="AL419" t="b">
        <v>0</v>
      </c>
      <c r="AM419" t="b">
        <v>0</v>
      </c>
    </row>
    <row r="420" spans="1:39">
      <c r="A420" t="s">
        <v>1148</v>
      </c>
      <c r="B420" t="b">
        <v>1</v>
      </c>
      <c r="C420">
        <v>102990</v>
      </c>
      <c r="D420" t="s">
        <v>39</v>
      </c>
      <c r="E420" t="s">
        <v>40</v>
      </c>
      <c r="F420" t="s">
        <v>488</v>
      </c>
      <c r="G420" t="s">
        <v>489</v>
      </c>
      <c r="H420" t="s">
        <v>41</v>
      </c>
      <c r="I420">
        <v>1</v>
      </c>
      <c r="J420" s="4">
        <v>40283</v>
      </c>
      <c r="K420" s="4">
        <v>40283</v>
      </c>
      <c r="L420" s="5">
        <v>0.49305555555555558</v>
      </c>
      <c r="M420" s="5">
        <v>0.51041666666666663</v>
      </c>
      <c r="N420">
        <v>55.530740000000002</v>
      </c>
      <c r="O420">
        <v>13.879630000000001</v>
      </c>
      <c r="P420">
        <v>429282</v>
      </c>
      <c r="Q420">
        <v>6154424</v>
      </c>
      <c r="R420" t="s">
        <v>490</v>
      </c>
      <c r="S420">
        <v>310</v>
      </c>
      <c r="T420" t="s">
        <v>499</v>
      </c>
      <c r="U420" t="s">
        <v>492</v>
      </c>
      <c r="V420" t="s">
        <v>493</v>
      </c>
      <c r="W420" t="s">
        <v>494</v>
      </c>
      <c r="X420" t="s">
        <v>494</v>
      </c>
      <c r="Y420" t="s">
        <v>1149</v>
      </c>
      <c r="Z420">
        <v>1</v>
      </c>
      <c r="AA420">
        <v>1</v>
      </c>
      <c r="AD420" t="s">
        <v>510</v>
      </c>
      <c r="AE420" t="s">
        <v>42</v>
      </c>
      <c r="AF420" t="s">
        <v>496</v>
      </c>
      <c r="AG420" t="b">
        <v>0</v>
      </c>
      <c r="AH420" t="b">
        <v>0</v>
      </c>
      <c r="AI420" t="b">
        <v>0</v>
      </c>
      <c r="AK420" t="s">
        <v>497</v>
      </c>
      <c r="AL420" t="b">
        <v>0</v>
      </c>
      <c r="AM420" t="b">
        <v>0</v>
      </c>
    </row>
    <row r="421" spans="1:39">
      <c r="A421" t="s">
        <v>1150</v>
      </c>
      <c r="B421" t="b">
        <v>1</v>
      </c>
      <c r="C421">
        <v>103003</v>
      </c>
      <c r="D421" t="s">
        <v>350</v>
      </c>
      <c r="E421" t="s">
        <v>351</v>
      </c>
      <c r="F421" t="s">
        <v>488</v>
      </c>
      <c r="G421" t="s">
        <v>489</v>
      </c>
      <c r="H421" t="s">
        <v>85</v>
      </c>
      <c r="I421">
        <v>1</v>
      </c>
      <c r="J421" s="4">
        <v>42144</v>
      </c>
      <c r="K421" s="4">
        <v>42144</v>
      </c>
      <c r="N421">
        <v>55.50996</v>
      </c>
      <c r="O421">
        <v>13.906599999999999</v>
      </c>
      <c r="P421">
        <v>430948</v>
      </c>
      <c r="Q421">
        <v>6152084</v>
      </c>
      <c r="R421" t="s">
        <v>490</v>
      </c>
      <c r="S421">
        <v>888</v>
      </c>
      <c r="T421" t="s">
        <v>1151</v>
      </c>
      <c r="U421" t="s">
        <v>503</v>
      </c>
      <c r="V421" t="s">
        <v>504</v>
      </c>
      <c r="W421" t="s">
        <v>494</v>
      </c>
      <c r="X421" t="s">
        <v>494</v>
      </c>
      <c r="Y421" t="s">
        <v>1152</v>
      </c>
      <c r="Z421">
        <v>1</v>
      </c>
      <c r="AA421">
        <v>1</v>
      </c>
      <c r="AE421" t="s">
        <v>42</v>
      </c>
      <c r="AF421" t="s">
        <v>496</v>
      </c>
      <c r="AG421" t="b">
        <v>0</v>
      </c>
      <c r="AH421" t="b">
        <v>0</v>
      </c>
      <c r="AI421" t="b">
        <v>0</v>
      </c>
      <c r="AK421" t="s">
        <v>497</v>
      </c>
      <c r="AL421" t="b">
        <v>0</v>
      </c>
      <c r="AM421" t="b">
        <v>0</v>
      </c>
    </row>
    <row r="422" spans="1:39">
      <c r="A422" t="s">
        <v>1153</v>
      </c>
      <c r="B422" t="b">
        <v>1</v>
      </c>
      <c r="C422">
        <v>100044</v>
      </c>
      <c r="D422" t="s">
        <v>142</v>
      </c>
      <c r="E422" t="s">
        <v>143</v>
      </c>
      <c r="F422" t="s">
        <v>488</v>
      </c>
      <c r="G422" t="s">
        <v>489</v>
      </c>
      <c r="H422" t="s">
        <v>81</v>
      </c>
      <c r="I422">
        <v>1</v>
      </c>
      <c r="J422" s="4">
        <v>41783</v>
      </c>
      <c r="K422" s="4">
        <v>41806</v>
      </c>
      <c r="L422" s="5">
        <v>0</v>
      </c>
      <c r="M422" s="5">
        <v>0</v>
      </c>
      <c r="N422">
        <v>55.527650000000001</v>
      </c>
      <c r="O422">
        <v>13.900119999999999</v>
      </c>
      <c r="P422">
        <v>430570</v>
      </c>
      <c r="Q422">
        <v>6154060</v>
      </c>
      <c r="R422" t="s">
        <v>490</v>
      </c>
      <c r="S422">
        <v>250</v>
      </c>
      <c r="T422" t="s">
        <v>578</v>
      </c>
      <c r="U422" t="s">
        <v>525</v>
      </c>
      <c r="V422" t="s">
        <v>504</v>
      </c>
      <c r="W422" t="s">
        <v>494</v>
      </c>
      <c r="X422" t="s">
        <v>494</v>
      </c>
      <c r="Y422" t="s">
        <v>1154</v>
      </c>
      <c r="Z422">
        <v>1</v>
      </c>
      <c r="AA422">
        <v>1</v>
      </c>
      <c r="AD422" t="s">
        <v>510</v>
      </c>
      <c r="AE422" t="s">
        <v>57</v>
      </c>
      <c r="AF422" t="s">
        <v>601</v>
      </c>
      <c r="AG422" t="b">
        <v>0</v>
      </c>
      <c r="AH422" t="b">
        <v>0</v>
      </c>
      <c r="AI422" t="b">
        <v>0</v>
      </c>
      <c r="AK422" t="s">
        <v>497</v>
      </c>
      <c r="AL422" t="b">
        <v>0</v>
      </c>
      <c r="AM422" t="b">
        <v>0</v>
      </c>
    </row>
    <row r="423" spans="1:39">
      <c r="A423" t="s">
        <v>1155</v>
      </c>
      <c r="B423" t="b">
        <v>1</v>
      </c>
      <c r="C423">
        <v>103055</v>
      </c>
      <c r="D423" t="s">
        <v>413</v>
      </c>
      <c r="E423" t="s">
        <v>414</v>
      </c>
      <c r="F423" t="s">
        <v>488</v>
      </c>
      <c r="G423" t="s">
        <v>489</v>
      </c>
      <c r="H423" t="s">
        <v>41</v>
      </c>
      <c r="I423">
        <v>1</v>
      </c>
      <c r="J423" s="4">
        <v>40321</v>
      </c>
      <c r="K423" s="4">
        <v>40321</v>
      </c>
      <c r="L423" s="5">
        <v>0</v>
      </c>
      <c r="M423" s="5">
        <v>0</v>
      </c>
      <c r="N423">
        <v>55.555309999999999</v>
      </c>
      <c r="O423">
        <v>13.8569</v>
      </c>
      <c r="P423">
        <v>427893</v>
      </c>
      <c r="Q423">
        <v>6157182</v>
      </c>
      <c r="R423" t="s">
        <v>490</v>
      </c>
      <c r="S423">
        <v>140</v>
      </c>
      <c r="T423" t="s">
        <v>491</v>
      </c>
      <c r="U423" t="s">
        <v>492</v>
      </c>
      <c r="V423" t="s">
        <v>493</v>
      </c>
      <c r="W423" t="s">
        <v>494</v>
      </c>
      <c r="X423" t="s">
        <v>494</v>
      </c>
      <c r="Y423" t="s">
        <v>495</v>
      </c>
      <c r="Z423">
        <v>1</v>
      </c>
      <c r="AA423">
        <v>1</v>
      </c>
      <c r="AE423" t="s">
        <v>42</v>
      </c>
      <c r="AF423" t="s">
        <v>496</v>
      </c>
      <c r="AG423" t="b">
        <v>0</v>
      </c>
      <c r="AH423" t="b">
        <v>0</v>
      </c>
      <c r="AI423" t="b">
        <v>0</v>
      </c>
      <c r="AK423" t="s">
        <v>497</v>
      </c>
      <c r="AL423" t="b">
        <v>0</v>
      </c>
      <c r="AM423" t="b">
        <v>0</v>
      </c>
    </row>
    <row r="424" spans="1:39">
      <c r="A424" t="s">
        <v>1156</v>
      </c>
      <c r="B424" t="b">
        <v>1</v>
      </c>
      <c r="C424">
        <v>102972</v>
      </c>
      <c r="D424" t="s">
        <v>55</v>
      </c>
      <c r="E424" t="s">
        <v>56</v>
      </c>
      <c r="F424" t="s">
        <v>488</v>
      </c>
      <c r="G424" t="s">
        <v>489</v>
      </c>
      <c r="H424" t="s">
        <v>41</v>
      </c>
      <c r="I424">
        <v>1</v>
      </c>
      <c r="J424" s="4">
        <v>40361</v>
      </c>
      <c r="K424" s="4">
        <v>40361</v>
      </c>
      <c r="L424" s="5">
        <v>0.71527777777777779</v>
      </c>
      <c r="M424" s="5">
        <v>0.875</v>
      </c>
      <c r="N424">
        <v>55.54081</v>
      </c>
      <c r="O424">
        <v>13.95609</v>
      </c>
      <c r="P424">
        <v>434125</v>
      </c>
      <c r="Q424">
        <v>6155470</v>
      </c>
      <c r="R424" t="s">
        <v>490</v>
      </c>
      <c r="S424">
        <v>1500</v>
      </c>
      <c r="T424" t="s">
        <v>507</v>
      </c>
      <c r="U424" t="s">
        <v>508</v>
      </c>
      <c r="V424" t="s">
        <v>504</v>
      </c>
      <c r="W424" t="s">
        <v>494</v>
      </c>
      <c r="X424" t="s">
        <v>494</v>
      </c>
      <c r="Y424" t="s">
        <v>509</v>
      </c>
      <c r="Z424">
        <v>1</v>
      </c>
      <c r="AA424">
        <v>1</v>
      </c>
      <c r="AD424" t="s">
        <v>510</v>
      </c>
      <c r="AE424" t="s">
        <v>42</v>
      </c>
      <c r="AF424" t="s">
        <v>496</v>
      </c>
      <c r="AG424" t="b">
        <v>0</v>
      </c>
      <c r="AH424" t="b">
        <v>0</v>
      </c>
      <c r="AI424" t="b">
        <v>0</v>
      </c>
      <c r="AK424" t="s">
        <v>497</v>
      </c>
      <c r="AL424" t="b">
        <v>0</v>
      </c>
      <c r="AM424" t="b">
        <v>0</v>
      </c>
    </row>
    <row r="425" spans="1:39">
      <c r="A425" t="s">
        <v>1157</v>
      </c>
      <c r="B425" t="b">
        <v>1</v>
      </c>
      <c r="C425">
        <v>103055</v>
      </c>
      <c r="D425" t="s">
        <v>413</v>
      </c>
      <c r="E425" t="s">
        <v>414</v>
      </c>
      <c r="F425" t="s">
        <v>488</v>
      </c>
      <c r="G425" t="s">
        <v>489</v>
      </c>
      <c r="H425" t="s">
        <v>41</v>
      </c>
      <c r="I425">
        <v>1</v>
      </c>
      <c r="J425" s="4">
        <v>40336</v>
      </c>
      <c r="K425" s="4">
        <v>40336</v>
      </c>
      <c r="L425" s="5">
        <v>0.60416666666666663</v>
      </c>
      <c r="M425" s="5">
        <v>0.66666666666666663</v>
      </c>
      <c r="N425">
        <v>55.527650000000001</v>
      </c>
      <c r="O425">
        <v>13.900119999999999</v>
      </c>
      <c r="P425">
        <v>430570</v>
      </c>
      <c r="Q425">
        <v>6154060</v>
      </c>
      <c r="R425" t="s">
        <v>490</v>
      </c>
      <c r="S425">
        <v>250</v>
      </c>
      <c r="T425" t="s">
        <v>578</v>
      </c>
      <c r="U425" t="s">
        <v>525</v>
      </c>
      <c r="V425" t="s">
        <v>504</v>
      </c>
      <c r="W425" t="s">
        <v>494</v>
      </c>
      <c r="X425" t="s">
        <v>494</v>
      </c>
      <c r="Y425" t="s">
        <v>691</v>
      </c>
      <c r="Z425">
        <v>3</v>
      </c>
      <c r="AA425">
        <v>3</v>
      </c>
      <c r="AE425" t="s">
        <v>42</v>
      </c>
      <c r="AF425" t="s">
        <v>496</v>
      </c>
      <c r="AG425" t="b">
        <v>0</v>
      </c>
      <c r="AH425" t="b">
        <v>0</v>
      </c>
      <c r="AI425" t="b">
        <v>0</v>
      </c>
      <c r="AK425" t="s">
        <v>497</v>
      </c>
      <c r="AL425" t="b">
        <v>0</v>
      </c>
      <c r="AM425" t="b">
        <v>0</v>
      </c>
    </row>
    <row r="426" spans="1:39">
      <c r="A426" t="s">
        <v>1158</v>
      </c>
      <c r="B426" t="b">
        <v>1</v>
      </c>
      <c r="C426">
        <v>103055</v>
      </c>
      <c r="D426" t="s">
        <v>413</v>
      </c>
      <c r="E426" t="s">
        <v>414</v>
      </c>
      <c r="F426" t="s">
        <v>488</v>
      </c>
      <c r="G426" t="s">
        <v>489</v>
      </c>
      <c r="H426" t="s">
        <v>41</v>
      </c>
      <c r="I426">
        <v>1</v>
      </c>
      <c r="J426" s="4">
        <v>41074</v>
      </c>
      <c r="K426" s="4">
        <v>41074</v>
      </c>
      <c r="L426" s="5">
        <v>0.50694444444444442</v>
      </c>
      <c r="M426" s="5">
        <v>0.54861111111111116</v>
      </c>
      <c r="N426">
        <v>55.547759999999997</v>
      </c>
      <c r="O426">
        <v>13.86754</v>
      </c>
      <c r="P426">
        <v>428550</v>
      </c>
      <c r="Q426">
        <v>6156331</v>
      </c>
      <c r="R426" t="s">
        <v>490</v>
      </c>
      <c r="S426">
        <v>627</v>
      </c>
      <c r="T426" t="s">
        <v>541</v>
      </c>
      <c r="U426" t="s">
        <v>525</v>
      </c>
      <c r="V426" t="s">
        <v>504</v>
      </c>
      <c r="W426" t="s">
        <v>494</v>
      </c>
      <c r="X426" t="s">
        <v>494</v>
      </c>
      <c r="Y426" t="s">
        <v>1159</v>
      </c>
      <c r="Z426">
        <v>1</v>
      </c>
      <c r="AA426">
        <v>1</v>
      </c>
      <c r="AE426" t="s">
        <v>42</v>
      </c>
      <c r="AF426" t="s">
        <v>496</v>
      </c>
      <c r="AG426" t="b">
        <v>0</v>
      </c>
      <c r="AH426" t="b">
        <v>0</v>
      </c>
      <c r="AI426" t="b">
        <v>0</v>
      </c>
      <c r="AK426" t="s">
        <v>497</v>
      </c>
      <c r="AL426" t="b">
        <v>0</v>
      </c>
      <c r="AM426" t="b">
        <v>0</v>
      </c>
    </row>
    <row r="427" spans="1:39">
      <c r="A427" t="s">
        <v>1160</v>
      </c>
      <c r="B427" t="b">
        <v>1</v>
      </c>
      <c r="C427">
        <v>100049</v>
      </c>
      <c r="D427" t="s">
        <v>295</v>
      </c>
      <c r="E427" t="s">
        <v>296</v>
      </c>
      <c r="F427" t="s">
        <v>488</v>
      </c>
      <c r="G427" t="s">
        <v>489</v>
      </c>
      <c r="H427" t="s">
        <v>46</v>
      </c>
      <c r="I427">
        <v>1</v>
      </c>
      <c r="J427" s="4">
        <v>43963</v>
      </c>
      <c r="K427" s="4">
        <v>43963</v>
      </c>
      <c r="N427">
        <v>55.515189999999997</v>
      </c>
      <c r="O427">
        <v>13.899330000000001</v>
      </c>
      <c r="P427">
        <v>430498</v>
      </c>
      <c r="Q427">
        <v>6152673</v>
      </c>
      <c r="R427" t="s">
        <v>490</v>
      </c>
      <c r="S427">
        <v>125</v>
      </c>
      <c r="T427" t="s">
        <v>552</v>
      </c>
      <c r="U427" t="s">
        <v>525</v>
      </c>
      <c r="V427" t="s">
        <v>504</v>
      </c>
      <c r="W427" t="s">
        <v>494</v>
      </c>
      <c r="X427" t="s">
        <v>494</v>
      </c>
      <c r="Y427" t="s">
        <v>536</v>
      </c>
      <c r="Z427">
        <v>1</v>
      </c>
      <c r="AA427">
        <v>1</v>
      </c>
      <c r="AE427" t="s">
        <v>538</v>
      </c>
      <c r="AF427" t="s">
        <v>496</v>
      </c>
      <c r="AG427" t="b">
        <v>0</v>
      </c>
      <c r="AH427" t="b">
        <v>0</v>
      </c>
      <c r="AI427" t="b">
        <v>0</v>
      </c>
      <c r="AK427" t="s">
        <v>497</v>
      </c>
      <c r="AL427" t="b">
        <v>0</v>
      </c>
      <c r="AM427" t="b">
        <v>0</v>
      </c>
    </row>
    <row r="428" spans="1:39">
      <c r="A428" t="s">
        <v>1161</v>
      </c>
      <c r="B428" t="b">
        <v>1</v>
      </c>
      <c r="C428">
        <v>102977</v>
      </c>
      <c r="D428" t="s">
        <v>47</v>
      </c>
      <c r="E428" t="s">
        <v>48</v>
      </c>
      <c r="F428" t="s">
        <v>488</v>
      </c>
      <c r="G428" t="s">
        <v>489</v>
      </c>
      <c r="H428" t="s">
        <v>46</v>
      </c>
      <c r="I428">
        <v>1</v>
      </c>
      <c r="J428" s="4">
        <v>43953</v>
      </c>
      <c r="K428" s="4">
        <v>43953</v>
      </c>
      <c r="L428" s="5">
        <v>0.58333333333333337</v>
      </c>
      <c r="M428" s="5">
        <v>0.625</v>
      </c>
      <c r="N428">
        <v>55.530740000000002</v>
      </c>
      <c r="O428">
        <v>13.879630000000001</v>
      </c>
      <c r="P428">
        <v>429282</v>
      </c>
      <c r="Q428">
        <v>6154424</v>
      </c>
      <c r="R428" t="s">
        <v>490</v>
      </c>
      <c r="S428">
        <v>310</v>
      </c>
      <c r="T428" t="s">
        <v>499</v>
      </c>
      <c r="U428" t="s">
        <v>492</v>
      </c>
      <c r="V428" t="s">
        <v>493</v>
      </c>
      <c r="W428" t="s">
        <v>494</v>
      </c>
      <c r="X428" t="s">
        <v>494</v>
      </c>
      <c r="Y428" t="s">
        <v>998</v>
      </c>
      <c r="Z428">
        <v>1</v>
      </c>
      <c r="AA428">
        <v>1</v>
      </c>
      <c r="AE428" t="s">
        <v>42</v>
      </c>
      <c r="AF428" t="s">
        <v>496</v>
      </c>
      <c r="AG428" t="b">
        <v>0</v>
      </c>
      <c r="AH428" t="b">
        <v>0</v>
      </c>
      <c r="AI428" t="b">
        <v>0</v>
      </c>
      <c r="AK428" t="s">
        <v>497</v>
      </c>
      <c r="AL428" t="b">
        <v>0</v>
      </c>
      <c r="AM428" t="b">
        <v>0</v>
      </c>
    </row>
    <row r="429" spans="1:39">
      <c r="A429" t="s">
        <v>1162</v>
      </c>
      <c r="B429" t="b">
        <v>1</v>
      </c>
      <c r="C429">
        <v>102987</v>
      </c>
      <c r="D429" t="s">
        <v>388</v>
      </c>
      <c r="E429" t="s">
        <v>389</v>
      </c>
      <c r="F429" t="s">
        <v>488</v>
      </c>
      <c r="G429" t="s">
        <v>489</v>
      </c>
      <c r="H429" t="s">
        <v>41</v>
      </c>
      <c r="I429">
        <v>1</v>
      </c>
      <c r="J429" s="4">
        <v>44004</v>
      </c>
      <c r="K429" s="4">
        <v>44004</v>
      </c>
      <c r="L429" s="5">
        <v>0.5625</v>
      </c>
      <c r="M429" s="5">
        <v>0.66319444444444442</v>
      </c>
      <c r="N429">
        <v>55.547759999999997</v>
      </c>
      <c r="O429">
        <v>13.86754</v>
      </c>
      <c r="P429">
        <v>428550</v>
      </c>
      <c r="Q429">
        <v>6156331</v>
      </c>
      <c r="R429" t="s">
        <v>490</v>
      </c>
      <c r="S429">
        <v>627</v>
      </c>
      <c r="T429" t="s">
        <v>541</v>
      </c>
      <c r="U429" t="s">
        <v>525</v>
      </c>
      <c r="V429" t="s">
        <v>504</v>
      </c>
      <c r="W429" t="s">
        <v>494</v>
      </c>
      <c r="X429" t="s">
        <v>494</v>
      </c>
      <c r="Y429" t="s">
        <v>1041</v>
      </c>
      <c r="Z429">
        <v>2</v>
      </c>
      <c r="AA429">
        <v>2</v>
      </c>
      <c r="AC429" t="s">
        <v>512</v>
      </c>
      <c r="AD429" t="s">
        <v>527</v>
      </c>
      <c r="AE429" t="s">
        <v>429</v>
      </c>
      <c r="AF429" t="s">
        <v>496</v>
      </c>
      <c r="AG429" t="b">
        <v>0</v>
      </c>
      <c r="AH429" t="b">
        <v>0</v>
      </c>
      <c r="AI429" t="b">
        <v>0</v>
      </c>
      <c r="AK429" t="s">
        <v>497</v>
      </c>
      <c r="AL429" t="b">
        <v>0</v>
      </c>
      <c r="AM429" t="b">
        <v>0</v>
      </c>
    </row>
    <row r="430" spans="1:39">
      <c r="A430" t="s">
        <v>1163</v>
      </c>
      <c r="B430" t="b">
        <v>1</v>
      </c>
      <c r="C430">
        <v>103055</v>
      </c>
      <c r="D430" t="s">
        <v>413</v>
      </c>
      <c r="E430" t="s">
        <v>414</v>
      </c>
      <c r="F430" t="s">
        <v>488</v>
      </c>
      <c r="G430" t="s">
        <v>489</v>
      </c>
      <c r="H430" t="s">
        <v>41</v>
      </c>
      <c r="I430">
        <v>1</v>
      </c>
      <c r="J430" s="4">
        <v>44380</v>
      </c>
      <c r="K430" s="4">
        <v>44380</v>
      </c>
      <c r="L430" s="5">
        <v>0.19444444444444445</v>
      </c>
      <c r="M430" s="5">
        <v>0.27083333333333331</v>
      </c>
      <c r="N430">
        <v>55.530740000000002</v>
      </c>
      <c r="O430">
        <v>13.879630000000001</v>
      </c>
      <c r="P430">
        <v>429282</v>
      </c>
      <c r="Q430">
        <v>6154424</v>
      </c>
      <c r="R430" t="s">
        <v>490</v>
      </c>
      <c r="S430">
        <v>310</v>
      </c>
      <c r="T430" t="s">
        <v>499</v>
      </c>
      <c r="U430" t="s">
        <v>492</v>
      </c>
      <c r="V430" t="s">
        <v>493</v>
      </c>
      <c r="W430" t="s">
        <v>494</v>
      </c>
      <c r="X430" t="s">
        <v>494</v>
      </c>
      <c r="Y430" t="s">
        <v>1164</v>
      </c>
      <c r="Z430">
        <v>3</v>
      </c>
      <c r="AA430">
        <v>3</v>
      </c>
      <c r="AE430" t="s">
        <v>42</v>
      </c>
      <c r="AF430" t="s">
        <v>496</v>
      </c>
      <c r="AG430" t="b">
        <v>0</v>
      </c>
      <c r="AH430" t="b">
        <v>0</v>
      </c>
      <c r="AI430" t="b">
        <v>0</v>
      </c>
      <c r="AK430" t="s">
        <v>497</v>
      </c>
      <c r="AL430" t="b">
        <v>0</v>
      </c>
      <c r="AM430" t="b">
        <v>0</v>
      </c>
    </row>
    <row r="431" spans="1:39">
      <c r="A431" t="s">
        <v>1165</v>
      </c>
      <c r="B431" t="b">
        <v>1</v>
      </c>
      <c r="C431">
        <v>103012</v>
      </c>
      <c r="D431" t="s">
        <v>358</v>
      </c>
      <c r="E431" t="s">
        <v>359</v>
      </c>
      <c r="F431" t="s">
        <v>488</v>
      </c>
      <c r="G431" t="s">
        <v>489</v>
      </c>
      <c r="H431" t="s">
        <v>41</v>
      </c>
      <c r="I431">
        <v>1</v>
      </c>
      <c r="J431" s="4">
        <v>44325</v>
      </c>
      <c r="K431" s="4">
        <v>44325</v>
      </c>
      <c r="N431">
        <v>55.530740000000002</v>
      </c>
      <c r="O431">
        <v>13.879630000000001</v>
      </c>
      <c r="P431">
        <v>429282</v>
      </c>
      <c r="Q431">
        <v>6154424</v>
      </c>
      <c r="R431" t="s">
        <v>490</v>
      </c>
      <c r="S431">
        <v>310</v>
      </c>
      <c r="T431" t="s">
        <v>499</v>
      </c>
      <c r="U431" t="s">
        <v>492</v>
      </c>
      <c r="V431" t="s">
        <v>493</v>
      </c>
      <c r="W431" t="s">
        <v>494</v>
      </c>
      <c r="X431" t="s">
        <v>494</v>
      </c>
      <c r="Y431" t="s">
        <v>1164</v>
      </c>
      <c r="Z431">
        <v>1</v>
      </c>
      <c r="AA431">
        <v>1</v>
      </c>
      <c r="AE431" t="s">
        <v>42</v>
      </c>
      <c r="AF431" t="s">
        <v>496</v>
      </c>
      <c r="AG431" t="b">
        <v>0</v>
      </c>
      <c r="AH431" t="b">
        <v>0</v>
      </c>
      <c r="AI431" t="b">
        <v>0</v>
      </c>
      <c r="AK431" t="s">
        <v>497</v>
      </c>
      <c r="AL431" t="b">
        <v>0</v>
      </c>
      <c r="AM431" t="b">
        <v>0</v>
      </c>
    </row>
    <row r="432" spans="1:39">
      <c r="A432" t="s">
        <v>1166</v>
      </c>
      <c r="B432" t="b">
        <v>1</v>
      </c>
      <c r="C432">
        <v>103055</v>
      </c>
      <c r="D432" t="s">
        <v>413</v>
      </c>
      <c r="E432" t="s">
        <v>414</v>
      </c>
      <c r="F432" t="s">
        <v>488</v>
      </c>
      <c r="G432" t="s">
        <v>489</v>
      </c>
      <c r="H432" t="s">
        <v>41</v>
      </c>
      <c r="I432">
        <v>1</v>
      </c>
      <c r="J432" s="4">
        <v>44359</v>
      </c>
      <c r="K432" s="4">
        <v>44359</v>
      </c>
      <c r="L432" s="5">
        <v>0.35694444444444445</v>
      </c>
      <c r="M432" s="5">
        <v>0.35694444444444445</v>
      </c>
      <c r="N432">
        <v>55.525750000000002</v>
      </c>
      <c r="O432">
        <v>13.88649</v>
      </c>
      <c r="P432">
        <v>429706</v>
      </c>
      <c r="Q432">
        <v>6153862</v>
      </c>
      <c r="R432" t="s">
        <v>490</v>
      </c>
      <c r="S432">
        <v>311</v>
      </c>
      <c r="T432" t="s">
        <v>515</v>
      </c>
      <c r="U432" t="s">
        <v>516</v>
      </c>
      <c r="V432" t="s">
        <v>493</v>
      </c>
      <c r="W432" t="s">
        <v>494</v>
      </c>
      <c r="X432" t="s">
        <v>494</v>
      </c>
      <c r="Y432" t="s">
        <v>757</v>
      </c>
      <c r="Z432">
        <v>1</v>
      </c>
      <c r="AA432">
        <v>1</v>
      </c>
      <c r="AE432" t="s">
        <v>42</v>
      </c>
      <c r="AF432" t="s">
        <v>496</v>
      </c>
      <c r="AG432" t="b">
        <v>0</v>
      </c>
      <c r="AH432" t="b">
        <v>0</v>
      </c>
      <c r="AI432" t="b">
        <v>0</v>
      </c>
      <c r="AK432" t="s">
        <v>497</v>
      </c>
      <c r="AL432" t="b">
        <v>0</v>
      </c>
      <c r="AM432" t="b">
        <v>0</v>
      </c>
    </row>
    <row r="433" spans="1:39">
      <c r="A433" t="s">
        <v>1167</v>
      </c>
      <c r="B433" t="b">
        <v>1</v>
      </c>
      <c r="C433">
        <v>103055</v>
      </c>
      <c r="D433" t="s">
        <v>413</v>
      </c>
      <c r="E433" t="s">
        <v>414</v>
      </c>
      <c r="F433" t="s">
        <v>488</v>
      </c>
      <c r="G433" t="s">
        <v>489</v>
      </c>
      <c r="H433" t="s">
        <v>41</v>
      </c>
      <c r="I433">
        <v>1</v>
      </c>
      <c r="J433" s="4">
        <v>42882</v>
      </c>
      <c r="K433" s="4">
        <v>42882</v>
      </c>
      <c r="L433" s="5">
        <v>0.74305555555555558</v>
      </c>
      <c r="M433" s="5">
        <v>0.75</v>
      </c>
      <c r="N433">
        <v>55.547759999999997</v>
      </c>
      <c r="O433">
        <v>13.86754</v>
      </c>
      <c r="P433">
        <v>428550</v>
      </c>
      <c r="Q433">
        <v>6156331</v>
      </c>
      <c r="R433" t="s">
        <v>490</v>
      </c>
      <c r="S433">
        <v>627</v>
      </c>
      <c r="T433" t="s">
        <v>541</v>
      </c>
      <c r="U433" t="s">
        <v>525</v>
      </c>
      <c r="V433" t="s">
        <v>504</v>
      </c>
      <c r="W433" t="s">
        <v>494</v>
      </c>
      <c r="X433" t="s">
        <v>494</v>
      </c>
      <c r="Y433" t="s">
        <v>1168</v>
      </c>
      <c r="Z433">
        <v>1</v>
      </c>
      <c r="AA433">
        <v>1</v>
      </c>
      <c r="AE433" t="s">
        <v>42</v>
      </c>
      <c r="AF433" t="s">
        <v>496</v>
      </c>
      <c r="AG433" t="b">
        <v>0</v>
      </c>
      <c r="AH433" t="b">
        <v>0</v>
      </c>
      <c r="AI433" t="b">
        <v>0</v>
      </c>
      <c r="AK433" t="s">
        <v>497</v>
      </c>
      <c r="AL433" t="b">
        <v>0</v>
      </c>
      <c r="AM433" t="b">
        <v>0</v>
      </c>
    </row>
    <row r="434" spans="1:39">
      <c r="A434" t="s">
        <v>1169</v>
      </c>
      <c r="B434" t="b">
        <v>1</v>
      </c>
      <c r="C434">
        <v>102105</v>
      </c>
      <c r="D434" t="s">
        <v>110</v>
      </c>
      <c r="E434" t="s">
        <v>111</v>
      </c>
      <c r="F434" t="s">
        <v>488</v>
      </c>
      <c r="G434" t="s">
        <v>489</v>
      </c>
      <c r="H434" t="s">
        <v>46</v>
      </c>
      <c r="I434">
        <v>1</v>
      </c>
      <c r="J434" s="4">
        <v>43587</v>
      </c>
      <c r="K434" s="4">
        <v>43587</v>
      </c>
      <c r="L434" s="5">
        <v>0.54166666666666663</v>
      </c>
      <c r="M434" s="5">
        <v>0.5625</v>
      </c>
      <c r="N434">
        <v>55.5351</v>
      </c>
      <c r="O434">
        <v>13.95862</v>
      </c>
      <c r="P434">
        <v>434276</v>
      </c>
      <c r="Q434">
        <v>6154832</v>
      </c>
      <c r="R434" t="s">
        <v>490</v>
      </c>
      <c r="S434">
        <v>400</v>
      </c>
      <c r="T434" t="s">
        <v>563</v>
      </c>
      <c r="U434" t="s">
        <v>508</v>
      </c>
      <c r="V434" t="s">
        <v>504</v>
      </c>
      <c r="W434" t="s">
        <v>494</v>
      </c>
      <c r="X434" t="s">
        <v>494</v>
      </c>
      <c r="Y434" t="s">
        <v>536</v>
      </c>
      <c r="Z434">
        <v>4</v>
      </c>
      <c r="AA434">
        <v>4</v>
      </c>
      <c r="AD434" t="s">
        <v>527</v>
      </c>
      <c r="AE434" t="s">
        <v>538</v>
      </c>
      <c r="AF434" t="s">
        <v>496</v>
      </c>
      <c r="AG434" t="b">
        <v>0</v>
      </c>
      <c r="AH434" t="b">
        <v>0</v>
      </c>
      <c r="AI434" t="b">
        <v>0</v>
      </c>
      <c r="AK434" t="s">
        <v>497</v>
      </c>
      <c r="AL434" t="b">
        <v>0</v>
      </c>
      <c r="AM434" t="b">
        <v>0</v>
      </c>
    </row>
    <row r="435" spans="1:39">
      <c r="A435" t="s">
        <v>1170</v>
      </c>
      <c r="B435" t="b">
        <v>1</v>
      </c>
      <c r="C435">
        <v>103055</v>
      </c>
      <c r="D435" t="s">
        <v>413</v>
      </c>
      <c r="E435" t="s">
        <v>414</v>
      </c>
      <c r="F435" t="s">
        <v>488</v>
      </c>
      <c r="G435" t="s">
        <v>489</v>
      </c>
      <c r="H435" t="s">
        <v>41</v>
      </c>
      <c r="I435">
        <v>1</v>
      </c>
      <c r="J435" s="4">
        <v>42864</v>
      </c>
      <c r="K435" s="4">
        <v>42864</v>
      </c>
      <c r="L435" s="5">
        <v>0.79166666666666663</v>
      </c>
      <c r="M435" s="5">
        <v>0.8125</v>
      </c>
      <c r="N435">
        <v>55.547759999999997</v>
      </c>
      <c r="O435">
        <v>13.86754</v>
      </c>
      <c r="P435">
        <v>428550</v>
      </c>
      <c r="Q435">
        <v>6156331</v>
      </c>
      <c r="R435" t="s">
        <v>490</v>
      </c>
      <c r="S435">
        <v>627</v>
      </c>
      <c r="T435" t="s">
        <v>541</v>
      </c>
      <c r="U435" t="s">
        <v>525</v>
      </c>
      <c r="V435" t="s">
        <v>504</v>
      </c>
      <c r="W435" t="s">
        <v>494</v>
      </c>
      <c r="X435" t="s">
        <v>494</v>
      </c>
      <c r="Y435" t="s">
        <v>536</v>
      </c>
      <c r="Z435">
        <v>2</v>
      </c>
      <c r="AA435">
        <v>2</v>
      </c>
      <c r="AE435" t="s">
        <v>42</v>
      </c>
      <c r="AF435" t="s">
        <v>496</v>
      </c>
      <c r="AG435" t="b">
        <v>0</v>
      </c>
      <c r="AH435" t="b">
        <v>0</v>
      </c>
      <c r="AI435" t="b">
        <v>0</v>
      </c>
      <c r="AK435" t="s">
        <v>497</v>
      </c>
      <c r="AL435" t="b">
        <v>0</v>
      </c>
      <c r="AM435" t="b">
        <v>0</v>
      </c>
    </row>
    <row r="436" spans="1:39">
      <c r="A436" t="s">
        <v>1171</v>
      </c>
      <c r="B436" t="b">
        <v>1</v>
      </c>
      <c r="C436">
        <v>102977</v>
      </c>
      <c r="D436" t="s">
        <v>47</v>
      </c>
      <c r="E436" t="s">
        <v>48</v>
      </c>
      <c r="F436" t="s">
        <v>488</v>
      </c>
      <c r="G436" t="s">
        <v>489</v>
      </c>
      <c r="H436" t="s">
        <v>46</v>
      </c>
      <c r="I436">
        <v>1</v>
      </c>
      <c r="J436" s="4">
        <v>43925</v>
      </c>
      <c r="K436" s="4">
        <v>43925</v>
      </c>
      <c r="L436" s="5">
        <v>0.39583333333333331</v>
      </c>
      <c r="M436" s="5">
        <v>0.39583333333333331</v>
      </c>
      <c r="N436">
        <v>55.538980000000002</v>
      </c>
      <c r="O436">
        <v>13.96345</v>
      </c>
      <c r="P436">
        <v>434586</v>
      </c>
      <c r="Q436">
        <v>6155259</v>
      </c>
      <c r="R436" t="s">
        <v>490</v>
      </c>
      <c r="S436">
        <v>250</v>
      </c>
      <c r="T436" t="s">
        <v>995</v>
      </c>
      <c r="U436" t="s">
        <v>947</v>
      </c>
      <c r="V436" t="s">
        <v>504</v>
      </c>
      <c r="W436" t="s">
        <v>494</v>
      </c>
      <c r="X436" t="s">
        <v>494</v>
      </c>
      <c r="Y436" t="s">
        <v>536</v>
      </c>
      <c r="Z436">
        <v>1</v>
      </c>
      <c r="AA436">
        <v>1</v>
      </c>
      <c r="AE436" t="s">
        <v>42</v>
      </c>
      <c r="AF436" t="s">
        <v>496</v>
      </c>
      <c r="AG436" t="b">
        <v>0</v>
      </c>
      <c r="AH436" t="b">
        <v>0</v>
      </c>
      <c r="AI436" t="b">
        <v>0</v>
      </c>
      <c r="AK436" t="s">
        <v>497</v>
      </c>
      <c r="AL436" t="b">
        <v>0</v>
      </c>
      <c r="AM436" t="b">
        <v>0</v>
      </c>
    </row>
    <row r="437" spans="1:39">
      <c r="A437" t="s">
        <v>1172</v>
      </c>
      <c r="B437" t="b">
        <v>1</v>
      </c>
      <c r="C437">
        <v>103055</v>
      </c>
      <c r="D437" t="s">
        <v>413</v>
      </c>
      <c r="E437" t="s">
        <v>414</v>
      </c>
      <c r="F437" t="s">
        <v>488</v>
      </c>
      <c r="G437" t="s">
        <v>489</v>
      </c>
      <c r="H437" t="s">
        <v>41</v>
      </c>
      <c r="I437">
        <v>1</v>
      </c>
      <c r="J437" s="4">
        <v>43943</v>
      </c>
      <c r="K437" s="4">
        <v>43943</v>
      </c>
      <c r="L437" s="5">
        <v>0.58333333333333337</v>
      </c>
      <c r="M437" s="5">
        <v>0.61458333333333337</v>
      </c>
      <c r="N437">
        <v>55.51511</v>
      </c>
      <c r="O437">
        <v>13.915900000000001</v>
      </c>
      <c r="P437">
        <v>431544</v>
      </c>
      <c r="Q437">
        <v>6152649</v>
      </c>
      <c r="R437" t="s">
        <v>490</v>
      </c>
      <c r="S437">
        <v>150</v>
      </c>
      <c r="T437" t="s">
        <v>613</v>
      </c>
      <c r="U437" t="s">
        <v>525</v>
      </c>
      <c r="V437" t="s">
        <v>504</v>
      </c>
      <c r="W437" t="s">
        <v>494</v>
      </c>
      <c r="X437" t="s">
        <v>494</v>
      </c>
      <c r="Y437" t="s">
        <v>536</v>
      </c>
      <c r="Z437">
        <v>1</v>
      </c>
      <c r="AA437">
        <v>1</v>
      </c>
      <c r="AE437" t="s">
        <v>538</v>
      </c>
      <c r="AF437" t="s">
        <v>496</v>
      </c>
      <c r="AG437" t="b">
        <v>0</v>
      </c>
      <c r="AH437" t="b">
        <v>0</v>
      </c>
      <c r="AI437" t="b">
        <v>0</v>
      </c>
      <c r="AK437" t="s">
        <v>497</v>
      </c>
      <c r="AL437" t="b">
        <v>0</v>
      </c>
      <c r="AM437" t="b">
        <v>0</v>
      </c>
    </row>
    <row r="438" spans="1:39">
      <c r="A438" t="s">
        <v>1173</v>
      </c>
      <c r="B438" t="b">
        <v>1</v>
      </c>
      <c r="C438">
        <v>103055</v>
      </c>
      <c r="D438" t="s">
        <v>413</v>
      </c>
      <c r="E438" t="s">
        <v>414</v>
      </c>
      <c r="F438" t="s">
        <v>488</v>
      </c>
      <c r="G438" t="s">
        <v>489</v>
      </c>
      <c r="H438" t="s">
        <v>41</v>
      </c>
      <c r="I438">
        <v>1</v>
      </c>
      <c r="J438" s="4">
        <v>43678</v>
      </c>
      <c r="K438" s="4">
        <v>43678</v>
      </c>
      <c r="L438" s="5">
        <v>0.6875</v>
      </c>
      <c r="M438" s="5">
        <v>0.75</v>
      </c>
      <c r="N438">
        <v>55.515189999999997</v>
      </c>
      <c r="O438">
        <v>13.899330000000001</v>
      </c>
      <c r="P438">
        <v>430498</v>
      </c>
      <c r="Q438">
        <v>6152673</v>
      </c>
      <c r="R438" t="s">
        <v>490</v>
      </c>
      <c r="S438">
        <v>125</v>
      </c>
      <c r="T438" t="s">
        <v>552</v>
      </c>
      <c r="U438" t="s">
        <v>525</v>
      </c>
      <c r="V438" t="s">
        <v>504</v>
      </c>
      <c r="W438" t="s">
        <v>494</v>
      </c>
      <c r="X438" t="s">
        <v>494</v>
      </c>
      <c r="Y438" t="s">
        <v>536</v>
      </c>
      <c r="Z438">
        <v>1</v>
      </c>
      <c r="AA438">
        <v>1</v>
      </c>
      <c r="AE438" t="s">
        <v>42</v>
      </c>
      <c r="AF438" t="s">
        <v>496</v>
      </c>
      <c r="AG438" t="b">
        <v>0</v>
      </c>
      <c r="AH438" t="b">
        <v>0</v>
      </c>
      <c r="AI438" t="b">
        <v>0</v>
      </c>
      <c r="AK438" t="s">
        <v>497</v>
      </c>
      <c r="AL438" t="b">
        <v>0</v>
      </c>
      <c r="AM438" t="b">
        <v>0</v>
      </c>
    </row>
    <row r="439" spans="1:39">
      <c r="A439" t="s">
        <v>1174</v>
      </c>
      <c r="B439" t="b">
        <v>1</v>
      </c>
      <c r="C439">
        <v>102104</v>
      </c>
      <c r="D439" t="s">
        <v>126</v>
      </c>
      <c r="E439" t="s">
        <v>127</v>
      </c>
      <c r="F439" t="s">
        <v>488</v>
      </c>
      <c r="G439" t="s">
        <v>489</v>
      </c>
      <c r="H439" t="s">
        <v>46</v>
      </c>
      <c r="I439">
        <v>1</v>
      </c>
      <c r="J439" s="4">
        <v>45791</v>
      </c>
      <c r="K439" s="4">
        <v>45791</v>
      </c>
      <c r="L439" s="5">
        <v>0.43055555555555558</v>
      </c>
      <c r="M439" s="5">
        <v>0.43055555555555558</v>
      </c>
      <c r="N439">
        <v>55.54081</v>
      </c>
      <c r="O439">
        <v>13.95609</v>
      </c>
      <c r="P439">
        <v>434125</v>
      </c>
      <c r="Q439">
        <v>6155470</v>
      </c>
      <c r="R439" t="s">
        <v>490</v>
      </c>
      <c r="S439">
        <v>1500</v>
      </c>
      <c r="T439" t="s">
        <v>507</v>
      </c>
      <c r="U439" t="s">
        <v>508</v>
      </c>
      <c r="V439" t="s">
        <v>504</v>
      </c>
      <c r="W439" t="s">
        <v>494</v>
      </c>
      <c r="X439" t="s">
        <v>494</v>
      </c>
      <c r="Y439" t="s">
        <v>572</v>
      </c>
      <c r="Z439">
        <v>4</v>
      </c>
      <c r="AA439">
        <v>4</v>
      </c>
      <c r="AE439" t="s">
        <v>51</v>
      </c>
      <c r="AF439" t="s">
        <v>496</v>
      </c>
      <c r="AG439" t="b">
        <v>0</v>
      </c>
      <c r="AH439" t="b">
        <v>0</v>
      </c>
      <c r="AI439" t="b">
        <v>0</v>
      </c>
      <c r="AK439" t="s">
        <v>497</v>
      </c>
      <c r="AL439" t="b">
        <v>0</v>
      </c>
      <c r="AM439" t="b">
        <v>0</v>
      </c>
    </row>
    <row r="440" spans="1:39">
      <c r="A440" t="s">
        <v>1175</v>
      </c>
      <c r="B440" t="b">
        <v>1</v>
      </c>
      <c r="C440">
        <v>100124</v>
      </c>
      <c r="D440" t="s">
        <v>352</v>
      </c>
      <c r="E440" t="s">
        <v>353</v>
      </c>
      <c r="F440" t="s">
        <v>488</v>
      </c>
      <c r="G440" t="s">
        <v>489</v>
      </c>
      <c r="H440" t="s">
        <v>81</v>
      </c>
      <c r="I440">
        <v>1</v>
      </c>
      <c r="J440" s="4">
        <v>45485</v>
      </c>
      <c r="K440" s="4">
        <v>45485</v>
      </c>
      <c r="N440">
        <v>55.548259999999999</v>
      </c>
      <c r="O440">
        <v>13.96992</v>
      </c>
      <c r="P440">
        <v>435010</v>
      </c>
      <c r="Q440">
        <v>6156285</v>
      </c>
      <c r="R440" t="s">
        <v>490</v>
      </c>
      <c r="S440">
        <v>25</v>
      </c>
      <c r="T440" t="s">
        <v>737</v>
      </c>
      <c r="U440" t="s">
        <v>508</v>
      </c>
      <c r="V440" t="s">
        <v>504</v>
      </c>
      <c r="W440" t="s">
        <v>494</v>
      </c>
      <c r="X440" t="s">
        <v>494</v>
      </c>
      <c r="Y440" t="s">
        <v>738</v>
      </c>
      <c r="Z440">
        <v>50</v>
      </c>
      <c r="AA440">
        <v>50</v>
      </c>
      <c r="AE440" t="s">
        <v>62</v>
      </c>
      <c r="AF440" t="s">
        <v>496</v>
      </c>
      <c r="AG440" t="b">
        <v>0</v>
      </c>
      <c r="AH440" t="b">
        <v>0</v>
      </c>
      <c r="AI440" t="b">
        <v>0</v>
      </c>
      <c r="AK440" t="s">
        <v>497</v>
      </c>
      <c r="AL440" t="b">
        <v>0</v>
      </c>
      <c r="AM440" t="b">
        <v>0</v>
      </c>
    </row>
    <row r="441" spans="1:39">
      <c r="A441" t="s">
        <v>1176</v>
      </c>
      <c r="B441" t="b">
        <v>1</v>
      </c>
      <c r="C441">
        <v>102954</v>
      </c>
      <c r="D441" t="s">
        <v>170</v>
      </c>
      <c r="E441" t="s">
        <v>171</v>
      </c>
      <c r="F441" t="s">
        <v>488</v>
      </c>
      <c r="G441" t="s">
        <v>489</v>
      </c>
      <c r="H441" t="s">
        <v>41</v>
      </c>
      <c r="I441">
        <v>1</v>
      </c>
      <c r="J441" s="4">
        <v>44741</v>
      </c>
      <c r="K441" s="4">
        <v>44741</v>
      </c>
      <c r="L441" s="5">
        <v>0.30555555555555558</v>
      </c>
      <c r="M441" s="5">
        <v>0.50416666666666665</v>
      </c>
      <c r="N441">
        <v>55.530740000000002</v>
      </c>
      <c r="O441">
        <v>13.879630000000001</v>
      </c>
      <c r="P441">
        <v>429282</v>
      </c>
      <c r="Q441">
        <v>6154424</v>
      </c>
      <c r="R441" t="s">
        <v>490</v>
      </c>
      <c r="S441">
        <v>310</v>
      </c>
      <c r="T441" t="s">
        <v>499</v>
      </c>
      <c r="U441" t="s">
        <v>492</v>
      </c>
      <c r="V441" t="s">
        <v>493</v>
      </c>
      <c r="W441" t="s">
        <v>494</v>
      </c>
      <c r="X441" t="s">
        <v>494</v>
      </c>
      <c r="Y441" t="s">
        <v>1177</v>
      </c>
      <c r="Z441">
        <v>1</v>
      </c>
      <c r="AA441">
        <v>1</v>
      </c>
      <c r="AE441" t="s">
        <v>42</v>
      </c>
      <c r="AF441" t="s">
        <v>496</v>
      </c>
      <c r="AG441" t="b">
        <v>0</v>
      </c>
      <c r="AH441" t="b">
        <v>0</v>
      </c>
      <c r="AI441" t="b">
        <v>0</v>
      </c>
      <c r="AK441" t="s">
        <v>497</v>
      </c>
      <c r="AL441" t="b">
        <v>0</v>
      </c>
      <c r="AM441" t="b">
        <v>0</v>
      </c>
    </row>
    <row r="442" spans="1:39">
      <c r="A442" t="s">
        <v>1178</v>
      </c>
      <c r="B442" t="b">
        <v>1</v>
      </c>
      <c r="C442">
        <v>103020</v>
      </c>
      <c r="D442" t="s">
        <v>328</v>
      </c>
      <c r="E442" t="s">
        <v>329</v>
      </c>
      <c r="F442" t="s">
        <v>488</v>
      </c>
      <c r="G442" t="s">
        <v>489</v>
      </c>
      <c r="H442" t="s">
        <v>41</v>
      </c>
      <c r="I442">
        <v>1</v>
      </c>
      <c r="J442" s="4">
        <v>44632</v>
      </c>
      <c r="K442" s="4">
        <v>44632</v>
      </c>
      <c r="N442">
        <v>55.556330000000003</v>
      </c>
      <c r="O442">
        <v>13.86158</v>
      </c>
      <c r="P442">
        <v>428190</v>
      </c>
      <c r="Q442">
        <v>6157290</v>
      </c>
      <c r="R442" t="s">
        <v>490</v>
      </c>
      <c r="S442">
        <v>139</v>
      </c>
      <c r="T442" t="s">
        <v>647</v>
      </c>
      <c r="U442" t="s">
        <v>532</v>
      </c>
      <c r="V442" t="s">
        <v>504</v>
      </c>
      <c r="W442" t="s">
        <v>494</v>
      </c>
      <c r="X442" t="s">
        <v>494</v>
      </c>
      <c r="Y442" t="s">
        <v>1179</v>
      </c>
      <c r="Z442">
        <v>1</v>
      </c>
      <c r="AA442">
        <v>1</v>
      </c>
      <c r="AE442" t="s">
        <v>42</v>
      </c>
      <c r="AF442" t="s">
        <v>496</v>
      </c>
      <c r="AG442" t="b">
        <v>0</v>
      </c>
      <c r="AH442" t="b">
        <v>0</v>
      </c>
      <c r="AI442" t="b">
        <v>0</v>
      </c>
      <c r="AK442" t="s">
        <v>497</v>
      </c>
      <c r="AL442" t="b">
        <v>0</v>
      </c>
      <c r="AM442" t="b">
        <v>0</v>
      </c>
    </row>
    <row r="443" spans="1:39">
      <c r="A443" t="s">
        <v>1180</v>
      </c>
      <c r="B443" t="b">
        <v>1</v>
      </c>
      <c r="C443">
        <v>100049</v>
      </c>
      <c r="D443" t="s">
        <v>295</v>
      </c>
      <c r="E443" t="s">
        <v>296</v>
      </c>
      <c r="F443" t="s">
        <v>488</v>
      </c>
      <c r="G443" t="s">
        <v>489</v>
      </c>
      <c r="H443" t="s">
        <v>46</v>
      </c>
      <c r="I443">
        <v>1</v>
      </c>
      <c r="J443" s="4">
        <v>44618</v>
      </c>
      <c r="K443" s="4">
        <v>44618</v>
      </c>
      <c r="L443" s="5">
        <v>0.58333333333333337</v>
      </c>
      <c r="M443" s="5">
        <v>0.58333333333333337</v>
      </c>
      <c r="N443">
        <v>55.530740000000002</v>
      </c>
      <c r="O443">
        <v>13.879630000000001</v>
      </c>
      <c r="P443">
        <v>429282</v>
      </c>
      <c r="Q443">
        <v>6154424</v>
      </c>
      <c r="R443" t="s">
        <v>490</v>
      </c>
      <c r="S443">
        <v>310</v>
      </c>
      <c r="T443" t="s">
        <v>499</v>
      </c>
      <c r="U443" t="s">
        <v>492</v>
      </c>
      <c r="V443" t="s">
        <v>493</v>
      </c>
      <c r="W443" t="s">
        <v>494</v>
      </c>
      <c r="X443" t="s">
        <v>494</v>
      </c>
      <c r="Y443" t="s">
        <v>1181</v>
      </c>
      <c r="Z443">
        <v>1</v>
      </c>
      <c r="AA443">
        <v>1</v>
      </c>
      <c r="AE443" t="s">
        <v>42</v>
      </c>
      <c r="AF443" t="s">
        <v>496</v>
      </c>
      <c r="AG443" t="b">
        <v>0</v>
      </c>
      <c r="AH443" t="b">
        <v>0</v>
      </c>
      <c r="AI443" t="b">
        <v>0</v>
      </c>
      <c r="AK443" t="s">
        <v>497</v>
      </c>
      <c r="AL443" t="b">
        <v>0</v>
      </c>
      <c r="AM443" t="b">
        <v>0</v>
      </c>
    </row>
    <row r="444" spans="1:39">
      <c r="A444" t="s">
        <v>1182</v>
      </c>
      <c r="B444" t="b">
        <v>1</v>
      </c>
      <c r="C444">
        <v>100049</v>
      </c>
      <c r="D444" t="s">
        <v>295</v>
      </c>
      <c r="E444" t="s">
        <v>296</v>
      </c>
      <c r="F444" t="s">
        <v>488</v>
      </c>
      <c r="G444" t="s">
        <v>489</v>
      </c>
      <c r="H444" t="s">
        <v>46</v>
      </c>
      <c r="I444">
        <v>1</v>
      </c>
      <c r="J444" s="4">
        <v>45304</v>
      </c>
      <c r="K444" s="4">
        <v>45304</v>
      </c>
      <c r="L444" s="5">
        <v>0.47222222222222221</v>
      </c>
      <c r="M444" s="5">
        <v>0.50694444444444442</v>
      </c>
      <c r="N444">
        <v>55.530740000000002</v>
      </c>
      <c r="O444">
        <v>13.879630000000001</v>
      </c>
      <c r="P444">
        <v>429282</v>
      </c>
      <c r="Q444">
        <v>6154424</v>
      </c>
      <c r="R444" t="s">
        <v>490</v>
      </c>
      <c r="S444">
        <v>310</v>
      </c>
      <c r="T444" t="s">
        <v>499</v>
      </c>
      <c r="U444" t="s">
        <v>492</v>
      </c>
      <c r="V444" t="s">
        <v>493</v>
      </c>
      <c r="W444" t="s">
        <v>494</v>
      </c>
      <c r="X444" t="s">
        <v>494</v>
      </c>
      <c r="Y444" t="s">
        <v>1183</v>
      </c>
      <c r="Z444">
        <v>1</v>
      </c>
      <c r="AA444">
        <v>1</v>
      </c>
      <c r="AE444" t="s">
        <v>42</v>
      </c>
      <c r="AF444" t="s">
        <v>496</v>
      </c>
      <c r="AG444" t="b">
        <v>0</v>
      </c>
      <c r="AH444" t="b">
        <v>0</v>
      </c>
      <c r="AI444" t="b">
        <v>0</v>
      </c>
      <c r="AK444" t="s">
        <v>497</v>
      </c>
      <c r="AL444" t="b">
        <v>0</v>
      </c>
      <c r="AM444" t="b">
        <v>0</v>
      </c>
    </row>
    <row r="445" spans="1:39">
      <c r="A445" t="s">
        <v>1184</v>
      </c>
      <c r="B445" t="b">
        <v>1</v>
      </c>
      <c r="C445">
        <v>102993</v>
      </c>
      <c r="D445" t="s">
        <v>384</v>
      </c>
      <c r="E445" t="s">
        <v>385</v>
      </c>
      <c r="F445" t="s">
        <v>488</v>
      </c>
      <c r="G445" t="s">
        <v>489</v>
      </c>
      <c r="H445" t="s">
        <v>85</v>
      </c>
      <c r="I445">
        <v>1</v>
      </c>
      <c r="J445" s="4">
        <v>45391</v>
      </c>
      <c r="K445" s="4">
        <v>45391</v>
      </c>
      <c r="L445" s="5">
        <v>0.75</v>
      </c>
      <c r="M445" s="5">
        <v>0.75</v>
      </c>
      <c r="N445">
        <v>55.54081</v>
      </c>
      <c r="O445">
        <v>13.95609</v>
      </c>
      <c r="P445">
        <v>434125</v>
      </c>
      <c r="Q445">
        <v>6155470</v>
      </c>
      <c r="R445" t="s">
        <v>490</v>
      </c>
      <c r="S445">
        <v>1500</v>
      </c>
      <c r="T445" t="s">
        <v>507</v>
      </c>
      <c r="U445" t="s">
        <v>508</v>
      </c>
      <c r="V445" t="s">
        <v>504</v>
      </c>
      <c r="W445" t="s">
        <v>494</v>
      </c>
      <c r="X445" t="s">
        <v>494</v>
      </c>
      <c r="Y445" t="s">
        <v>536</v>
      </c>
      <c r="Z445">
        <v>1</v>
      </c>
      <c r="AA445">
        <v>1</v>
      </c>
      <c r="AE445" t="s">
        <v>42</v>
      </c>
      <c r="AF445" t="s">
        <v>496</v>
      </c>
      <c r="AG445" t="b">
        <v>0</v>
      </c>
      <c r="AH445" t="b">
        <v>0</v>
      </c>
      <c r="AI445" t="b">
        <v>0</v>
      </c>
      <c r="AK445" t="s">
        <v>497</v>
      </c>
      <c r="AL445" t="b">
        <v>0</v>
      </c>
      <c r="AM445" t="b">
        <v>0</v>
      </c>
    </row>
    <row r="446" spans="1:39">
      <c r="A446" t="s">
        <v>1185</v>
      </c>
      <c r="B446" t="b">
        <v>1</v>
      </c>
      <c r="C446">
        <v>102990</v>
      </c>
      <c r="D446" t="s">
        <v>39</v>
      </c>
      <c r="E446" t="s">
        <v>40</v>
      </c>
      <c r="F446" t="s">
        <v>488</v>
      </c>
      <c r="G446" t="s">
        <v>489</v>
      </c>
      <c r="H446" t="s">
        <v>41</v>
      </c>
      <c r="I446">
        <v>1</v>
      </c>
      <c r="J446" s="4">
        <v>45032</v>
      </c>
      <c r="K446" s="4">
        <v>45032</v>
      </c>
      <c r="L446" s="5">
        <v>0.59722222222222221</v>
      </c>
      <c r="M446" s="5">
        <v>0.66666666666666663</v>
      </c>
      <c r="N446">
        <v>55.547759999999997</v>
      </c>
      <c r="O446">
        <v>13.86754</v>
      </c>
      <c r="P446">
        <v>428550</v>
      </c>
      <c r="Q446">
        <v>6156331</v>
      </c>
      <c r="R446" t="s">
        <v>490</v>
      </c>
      <c r="S446">
        <v>627</v>
      </c>
      <c r="T446" t="s">
        <v>541</v>
      </c>
      <c r="U446" t="s">
        <v>525</v>
      </c>
      <c r="V446" t="s">
        <v>504</v>
      </c>
      <c r="W446" t="s">
        <v>494</v>
      </c>
      <c r="X446" t="s">
        <v>494</v>
      </c>
      <c r="Y446" t="s">
        <v>1186</v>
      </c>
      <c r="Z446">
        <v>1</v>
      </c>
      <c r="AA446">
        <v>1</v>
      </c>
      <c r="AE446" t="s">
        <v>42</v>
      </c>
      <c r="AF446" t="s">
        <v>496</v>
      </c>
      <c r="AG446" t="b">
        <v>0</v>
      </c>
      <c r="AH446" t="b">
        <v>0</v>
      </c>
      <c r="AI446" t="b">
        <v>0</v>
      </c>
      <c r="AK446" t="s">
        <v>497</v>
      </c>
      <c r="AL446" t="b">
        <v>0</v>
      </c>
      <c r="AM446" t="b">
        <v>0</v>
      </c>
    </row>
    <row r="447" spans="1:39">
      <c r="A447" t="s">
        <v>1187</v>
      </c>
      <c r="B447" t="b">
        <v>1</v>
      </c>
      <c r="C447">
        <v>103042</v>
      </c>
      <c r="D447" t="s">
        <v>398</v>
      </c>
      <c r="E447" t="s">
        <v>399</v>
      </c>
      <c r="F447" t="s">
        <v>488</v>
      </c>
      <c r="G447" t="s">
        <v>489</v>
      </c>
      <c r="H447" t="s">
        <v>85</v>
      </c>
      <c r="I447">
        <v>1</v>
      </c>
      <c r="J447" s="4">
        <v>45840</v>
      </c>
      <c r="K447" s="4">
        <v>45840</v>
      </c>
      <c r="L447" s="5">
        <v>0.84375</v>
      </c>
      <c r="M447" s="5">
        <v>0.875</v>
      </c>
      <c r="N447">
        <v>55.548569999999998</v>
      </c>
      <c r="O447">
        <v>13.97132</v>
      </c>
      <c r="P447">
        <v>435099</v>
      </c>
      <c r="Q447">
        <v>6156319</v>
      </c>
      <c r="R447" t="s">
        <v>490</v>
      </c>
      <c r="S447">
        <v>200</v>
      </c>
      <c r="T447" t="s">
        <v>658</v>
      </c>
      <c r="U447" t="s">
        <v>508</v>
      </c>
      <c r="V447" t="s">
        <v>504</v>
      </c>
      <c r="W447" t="s">
        <v>494</v>
      </c>
      <c r="X447" t="s">
        <v>494</v>
      </c>
      <c r="Y447" t="s">
        <v>536</v>
      </c>
      <c r="Z447">
        <v>1</v>
      </c>
      <c r="AA447">
        <v>1</v>
      </c>
      <c r="AE447" t="s">
        <v>42</v>
      </c>
      <c r="AF447" t="s">
        <v>496</v>
      </c>
      <c r="AG447" t="b">
        <v>0</v>
      </c>
      <c r="AH447" t="b">
        <v>0</v>
      </c>
      <c r="AI447" t="b">
        <v>0</v>
      </c>
      <c r="AK447" t="s">
        <v>497</v>
      </c>
      <c r="AL447" t="b">
        <v>0</v>
      </c>
      <c r="AM447" t="b">
        <v>0</v>
      </c>
    </row>
    <row r="448" spans="1:39">
      <c r="A448" t="s">
        <v>1188</v>
      </c>
      <c r="B448" t="b">
        <v>1</v>
      </c>
      <c r="C448">
        <v>103055</v>
      </c>
      <c r="D448" t="s">
        <v>413</v>
      </c>
      <c r="E448" t="s">
        <v>414</v>
      </c>
      <c r="F448" t="s">
        <v>488</v>
      </c>
      <c r="G448" t="s">
        <v>489</v>
      </c>
      <c r="H448" t="s">
        <v>41</v>
      </c>
      <c r="I448">
        <v>1</v>
      </c>
      <c r="J448" s="4">
        <v>45812</v>
      </c>
      <c r="K448" s="4">
        <v>45812</v>
      </c>
      <c r="L448" s="5">
        <v>0.3923611111111111</v>
      </c>
      <c r="M448" s="5">
        <v>0.39583333333333331</v>
      </c>
      <c r="N448">
        <v>55.525750000000002</v>
      </c>
      <c r="O448">
        <v>13.88649</v>
      </c>
      <c r="P448">
        <v>429706</v>
      </c>
      <c r="Q448">
        <v>6153862</v>
      </c>
      <c r="R448" t="s">
        <v>490</v>
      </c>
      <c r="S448">
        <v>311</v>
      </c>
      <c r="T448" t="s">
        <v>515</v>
      </c>
      <c r="U448" t="s">
        <v>516</v>
      </c>
      <c r="V448" t="s">
        <v>493</v>
      </c>
      <c r="W448" t="s">
        <v>494</v>
      </c>
      <c r="X448" t="s">
        <v>494</v>
      </c>
      <c r="Y448" t="s">
        <v>671</v>
      </c>
      <c r="Z448">
        <v>1</v>
      </c>
      <c r="AA448">
        <v>1</v>
      </c>
      <c r="AD448" t="s">
        <v>510</v>
      </c>
      <c r="AE448" t="s">
        <v>42</v>
      </c>
      <c r="AF448" t="s">
        <v>496</v>
      </c>
      <c r="AG448" t="b">
        <v>0</v>
      </c>
      <c r="AH448" t="b">
        <v>0</v>
      </c>
      <c r="AI448" t="b">
        <v>0</v>
      </c>
      <c r="AK448" t="s">
        <v>497</v>
      </c>
      <c r="AL448" t="b">
        <v>0</v>
      </c>
      <c r="AM448" t="b">
        <v>0</v>
      </c>
    </row>
    <row r="449" spans="1:39">
      <c r="A449" t="s">
        <v>1189</v>
      </c>
      <c r="B449" t="b">
        <v>1</v>
      </c>
      <c r="C449">
        <v>102952</v>
      </c>
      <c r="D449" t="s">
        <v>158</v>
      </c>
      <c r="E449" t="s">
        <v>159</v>
      </c>
      <c r="F449" t="s">
        <v>488</v>
      </c>
      <c r="G449" t="s">
        <v>489</v>
      </c>
      <c r="H449" t="s">
        <v>85</v>
      </c>
      <c r="I449">
        <v>1</v>
      </c>
      <c r="J449" s="4">
        <v>41029</v>
      </c>
      <c r="K449" s="4">
        <v>41029</v>
      </c>
      <c r="L449" s="5">
        <v>0.54513888888888884</v>
      </c>
      <c r="M449" s="5">
        <v>0.59027777777777779</v>
      </c>
      <c r="N449">
        <v>55.527650000000001</v>
      </c>
      <c r="O449">
        <v>13.900119999999999</v>
      </c>
      <c r="P449">
        <v>430570</v>
      </c>
      <c r="Q449">
        <v>6154060</v>
      </c>
      <c r="R449" t="s">
        <v>490</v>
      </c>
      <c r="S449">
        <v>250</v>
      </c>
      <c r="T449" t="s">
        <v>578</v>
      </c>
      <c r="U449" t="s">
        <v>525</v>
      </c>
      <c r="V449" t="s">
        <v>504</v>
      </c>
      <c r="W449" t="s">
        <v>494</v>
      </c>
      <c r="X449" t="s">
        <v>494</v>
      </c>
      <c r="Y449" t="s">
        <v>685</v>
      </c>
      <c r="Z449">
        <v>2</v>
      </c>
      <c r="AA449">
        <v>2</v>
      </c>
      <c r="AE449" t="s">
        <v>538</v>
      </c>
      <c r="AF449" t="s">
        <v>496</v>
      </c>
      <c r="AG449" t="b">
        <v>0</v>
      </c>
      <c r="AH449" t="b">
        <v>0</v>
      </c>
      <c r="AI449" t="b">
        <v>0</v>
      </c>
      <c r="AK449" t="s">
        <v>497</v>
      </c>
      <c r="AL449" t="b">
        <v>0</v>
      </c>
      <c r="AM449" t="b">
        <v>0</v>
      </c>
    </row>
    <row r="450" spans="1:39">
      <c r="A450" t="s">
        <v>1190</v>
      </c>
      <c r="B450" t="b">
        <v>1</v>
      </c>
      <c r="C450">
        <v>103055</v>
      </c>
      <c r="D450" t="s">
        <v>413</v>
      </c>
      <c r="E450" t="s">
        <v>414</v>
      </c>
      <c r="F450" t="s">
        <v>488</v>
      </c>
      <c r="G450" t="s">
        <v>489</v>
      </c>
      <c r="H450" t="s">
        <v>41</v>
      </c>
      <c r="I450">
        <v>1</v>
      </c>
      <c r="J450" s="4">
        <v>40673</v>
      </c>
      <c r="K450" s="4">
        <v>40673</v>
      </c>
      <c r="L450" s="5">
        <v>0.39583333333333331</v>
      </c>
      <c r="M450" s="5">
        <v>0.47222222222222221</v>
      </c>
      <c r="N450">
        <v>55.547759999999997</v>
      </c>
      <c r="O450">
        <v>13.86754</v>
      </c>
      <c r="P450">
        <v>428550</v>
      </c>
      <c r="Q450">
        <v>6156331</v>
      </c>
      <c r="R450" t="s">
        <v>490</v>
      </c>
      <c r="S450">
        <v>627</v>
      </c>
      <c r="T450" t="s">
        <v>541</v>
      </c>
      <c r="U450" t="s">
        <v>525</v>
      </c>
      <c r="V450" t="s">
        <v>504</v>
      </c>
      <c r="W450" t="s">
        <v>494</v>
      </c>
      <c r="X450" t="s">
        <v>494</v>
      </c>
      <c r="Y450" t="s">
        <v>1191</v>
      </c>
      <c r="Z450">
        <v>1</v>
      </c>
      <c r="AA450">
        <v>1</v>
      </c>
      <c r="AE450" t="s">
        <v>42</v>
      </c>
      <c r="AF450" t="s">
        <v>496</v>
      </c>
      <c r="AG450" t="b">
        <v>0</v>
      </c>
      <c r="AH450" t="b">
        <v>0</v>
      </c>
      <c r="AI450" t="b">
        <v>0</v>
      </c>
      <c r="AK450" t="s">
        <v>497</v>
      </c>
      <c r="AL450" t="b">
        <v>0</v>
      </c>
      <c r="AM450" t="b">
        <v>0</v>
      </c>
    </row>
    <row r="451" spans="1:39">
      <c r="A451" t="s">
        <v>1192</v>
      </c>
      <c r="B451" t="b">
        <v>1</v>
      </c>
      <c r="C451">
        <v>103055</v>
      </c>
      <c r="D451" t="s">
        <v>413</v>
      </c>
      <c r="E451" t="s">
        <v>414</v>
      </c>
      <c r="F451" t="s">
        <v>488</v>
      </c>
      <c r="G451" t="s">
        <v>489</v>
      </c>
      <c r="H451" t="s">
        <v>41</v>
      </c>
      <c r="I451">
        <v>1</v>
      </c>
      <c r="J451" s="4">
        <v>40979</v>
      </c>
      <c r="K451" s="4">
        <v>40979</v>
      </c>
      <c r="L451" s="5">
        <v>0.3263888888888889</v>
      </c>
      <c r="M451" s="5">
        <v>0.3611111111111111</v>
      </c>
      <c r="N451">
        <v>55.547759999999997</v>
      </c>
      <c r="O451">
        <v>13.86754</v>
      </c>
      <c r="P451">
        <v>428550</v>
      </c>
      <c r="Q451">
        <v>6156331</v>
      </c>
      <c r="R451" t="s">
        <v>490</v>
      </c>
      <c r="S451">
        <v>627</v>
      </c>
      <c r="T451" t="s">
        <v>541</v>
      </c>
      <c r="U451" t="s">
        <v>525</v>
      </c>
      <c r="V451" t="s">
        <v>504</v>
      </c>
      <c r="W451" t="s">
        <v>494</v>
      </c>
      <c r="X451" t="s">
        <v>494</v>
      </c>
      <c r="Y451" t="s">
        <v>1193</v>
      </c>
      <c r="Z451">
        <v>2</v>
      </c>
      <c r="AA451">
        <v>2</v>
      </c>
      <c r="AE451" t="s">
        <v>42</v>
      </c>
      <c r="AF451" t="s">
        <v>496</v>
      </c>
      <c r="AG451" t="b">
        <v>0</v>
      </c>
      <c r="AH451" t="b">
        <v>0</v>
      </c>
      <c r="AI451" t="b">
        <v>0</v>
      </c>
      <c r="AK451" t="s">
        <v>497</v>
      </c>
      <c r="AL451" t="b">
        <v>0</v>
      </c>
      <c r="AM451" t="b">
        <v>0</v>
      </c>
    </row>
    <row r="452" spans="1:39">
      <c r="A452" t="s">
        <v>1194</v>
      </c>
      <c r="B452" t="b">
        <v>1</v>
      </c>
      <c r="C452">
        <v>103012</v>
      </c>
      <c r="D452" t="s">
        <v>358</v>
      </c>
      <c r="E452" t="s">
        <v>359</v>
      </c>
      <c r="F452" t="s">
        <v>488</v>
      </c>
      <c r="G452" t="s">
        <v>489</v>
      </c>
      <c r="H452" t="s">
        <v>41</v>
      </c>
      <c r="I452">
        <v>1</v>
      </c>
      <c r="J452" s="4">
        <v>41029</v>
      </c>
      <c r="K452" s="4">
        <v>41029</v>
      </c>
      <c r="L452" s="5">
        <v>0.54513888888888884</v>
      </c>
      <c r="M452" s="5">
        <v>0.59027777777777779</v>
      </c>
      <c r="N452">
        <v>55.530740000000002</v>
      </c>
      <c r="O452">
        <v>13.879630000000001</v>
      </c>
      <c r="P452">
        <v>429282</v>
      </c>
      <c r="Q452">
        <v>6154424</v>
      </c>
      <c r="R452" t="s">
        <v>490</v>
      </c>
      <c r="S452">
        <v>310</v>
      </c>
      <c r="T452" t="s">
        <v>499</v>
      </c>
      <c r="U452" t="s">
        <v>492</v>
      </c>
      <c r="V452" t="s">
        <v>493</v>
      </c>
      <c r="W452" t="s">
        <v>494</v>
      </c>
      <c r="X452" t="s">
        <v>494</v>
      </c>
      <c r="Y452" t="s">
        <v>685</v>
      </c>
      <c r="Z452">
        <v>1</v>
      </c>
      <c r="AA452">
        <v>1</v>
      </c>
      <c r="AE452" t="s">
        <v>42</v>
      </c>
      <c r="AF452" t="s">
        <v>496</v>
      </c>
      <c r="AG452" t="b">
        <v>0</v>
      </c>
      <c r="AH452" t="b">
        <v>0</v>
      </c>
      <c r="AI452" t="b">
        <v>0</v>
      </c>
      <c r="AK452" t="s">
        <v>497</v>
      </c>
      <c r="AL452" t="b">
        <v>0</v>
      </c>
      <c r="AM452" t="b">
        <v>0</v>
      </c>
    </row>
    <row r="453" spans="1:39">
      <c r="A453" t="s">
        <v>1195</v>
      </c>
      <c r="B453" t="b">
        <v>1</v>
      </c>
      <c r="C453">
        <v>103055</v>
      </c>
      <c r="D453" t="s">
        <v>413</v>
      </c>
      <c r="E453" t="s">
        <v>414</v>
      </c>
      <c r="F453" t="s">
        <v>488</v>
      </c>
      <c r="G453" t="s">
        <v>489</v>
      </c>
      <c r="H453" t="s">
        <v>41</v>
      </c>
      <c r="I453">
        <v>1</v>
      </c>
      <c r="J453" s="4">
        <v>41475</v>
      </c>
      <c r="K453" s="4">
        <v>41475</v>
      </c>
      <c r="L453" s="5">
        <v>0.53819444444444442</v>
      </c>
      <c r="M453" s="5">
        <v>0.56597222222222221</v>
      </c>
      <c r="N453">
        <v>55.527650000000001</v>
      </c>
      <c r="O453">
        <v>13.900119999999999</v>
      </c>
      <c r="P453">
        <v>430570</v>
      </c>
      <c r="Q453">
        <v>6154060</v>
      </c>
      <c r="R453" t="s">
        <v>490</v>
      </c>
      <c r="S453">
        <v>250</v>
      </c>
      <c r="T453" t="s">
        <v>578</v>
      </c>
      <c r="U453" t="s">
        <v>525</v>
      </c>
      <c r="V453" t="s">
        <v>504</v>
      </c>
      <c r="W453" t="s">
        <v>494</v>
      </c>
      <c r="X453" t="s">
        <v>494</v>
      </c>
      <c r="Y453" t="s">
        <v>975</v>
      </c>
      <c r="Z453">
        <v>1</v>
      </c>
      <c r="AA453">
        <v>1</v>
      </c>
      <c r="AE453" t="s">
        <v>42</v>
      </c>
      <c r="AF453" t="s">
        <v>496</v>
      </c>
      <c r="AG453" t="b">
        <v>0</v>
      </c>
      <c r="AH453" t="b">
        <v>0</v>
      </c>
      <c r="AI453" t="b">
        <v>0</v>
      </c>
      <c r="AK453" t="s">
        <v>497</v>
      </c>
      <c r="AL453" t="b">
        <v>0</v>
      </c>
      <c r="AM453" t="b">
        <v>0</v>
      </c>
    </row>
    <row r="454" spans="1:39">
      <c r="A454" t="s">
        <v>1196</v>
      </c>
      <c r="B454" t="b">
        <v>1</v>
      </c>
      <c r="C454">
        <v>103042</v>
      </c>
      <c r="D454" t="s">
        <v>398</v>
      </c>
      <c r="E454" t="s">
        <v>399</v>
      </c>
      <c r="F454" t="s">
        <v>488</v>
      </c>
      <c r="G454" t="s">
        <v>489</v>
      </c>
      <c r="H454" t="s">
        <v>85</v>
      </c>
      <c r="I454">
        <v>1</v>
      </c>
      <c r="J454" s="4">
        <v>41412</v>
      </c>
      <c r="K454" s="4">
        <v>41412</v>
      </c>
      <c r="L454" s="5">
        <v>0.41666666666666669</v>
      </c>
      <c r="M454" s="5">
        <v>0.52083333333333337</v>
      </c>
      <c r="N454">
        <v>55.527650000000001</v>
      </c>
      <c r="O454">
        <v>13.900119999999999</v>
      </c>
      <c r="P454">
        <v>430570</v>
      </c>
      <c r="Q454">
        <v>6154060</v>
      </c>
      <c r="R454" t="s">
        <v>490</v>
      </c>
      <c r="S454">
        <v>250</v>
      </c>
      <c r="T454" t="s">
        <v>578</v>
      </c>
      <c r="U454" t="s">
        <v>525</v>
      </c>
      <c r="V454" t="s">
        <v>504</v>
      </c>
      <c r="W454" t="s">
        <v>494</v>
      </c>
      <c r="X454" t="s">
        <v>494</v>
      </c>
      <c r="Y454" t="s">
        <v>749</v>
      </c>
      <c r="Z454">
        <v>1</v>
      </c>
      <c r="AA454">
        <v>1</v>
      </c>
      <c r="AE454" t="s">
        <v>42</v>
      </c>
      <c r="AF454" t="s">
        <v>496</v>
      </c>
      <c r="AG454" t="b">
        <v>0</v>
      </c>
      <c r="AH454" t="b">
        <v>0</v>
      </c>
      <c r="AI454" t="b">
        <v>0</v>
      </c>
      <c r="AK454" t="s">
        <v>497</v>
      </c>
      <c r="AL454" t="b">
        <v>0</v>
      </c>
      <c r="AM454" t="b">
        <v>0</v>
      </c>
    </row>
    <row r="455" spans="1:39">
      <c r="A455" t="s">
        <v>1197</v>
      </c>
      <c r="B455" t="b">
        <v>1</v>
      </c>
      <c r="C455">
        <v>102990</v>
      </c>
      <c r="D455" t="s">
        <v>39</v>
      </c>
      <c r="E455" t="s">
        <v>40</v>
      </c>
      <c r="F455" t="s">
        <v>488</v>
      </c>
      <c r="G455" t="s">
        <v>489</v>
      </c>
      <c r="H455" t="s">
        <v>41</v>
      </c>
      <c r="I455">
        <v>1</v>
      </c>
      <c r="J455" s="4">
        <v>41378</v>
      </c>
      <c r="K455" s="4">
        <v>41378</v>
      </c>
      <c r="L455" s="5">
        <v>0</v>
      </c>
      <c r="M455" s="5">
        <v>0</v>
      </c>
      <c r="N455">
        <v>55.525739999999999</v>
      </c>
      <c r="O455">
        <v>13.93807</v>
      </c>
      <c r="P455">
        <v>432962</v>
      </c>
      <c r="Q455">
        <v>6153810</v>
      </c>
      <c r="R455" t="s">
        <v>490</v>
      </c>
      <c r="S455">
        <v>1981</v>
      </c>
      <c r="T455" t="s">
        <v>524</v>
      </c>
      <c r="U455" t="s">
        <v>525</v>
      </c>
      <c r="V455" t="s">
        <v>504</v>
      </c>
      <c r="W455" t="s">
        <v>494</v>
      </c>
      <c r="X455" t="s">
        <v>494</v>
      </c>
      <c r="Y455" t="s">
        <v>581</v>
      </c>
      <c r="Z455">
        <v>3</v>
      </c>
      <c r="AA455">
        <v>3</v>
      </c>
      <c r="AE455" t="s">
        <v>42</v>
      </c>
      <c r="AF455" t="s">
        <v>496</v>
      </c>
      <c r="AG455" t="b">
        <v>0</v>
      </c>
      <c r="AH455" t="b">
        <v>0</v>
      </c>
      <c r="AI455" t="b">
        <v>0</v>
      </c>
      <c r="AK455" t="s">
        <v>497</v>
      </c>
      <c r="AL455" t="b">
        <v>0</v>
      </c>
      <c r="AM455" t="b">
        <v>0</v>
      </c>
    </row>
    <row r="456" spans="1:39">
      <c r="A456" t="s">
        <v>1198</v>
      </c>
      <c r="B456" t="b">
        <v>1</v>
      </c>
      <c r="C456">
        <v>103037</v>
      </c>
      <c r="D456" t="s">
        <v>368</v>
      </c>
      <c r="E456" t="s">
        <v>369</v>
      </c>
      <c r="F456" t="s">
        <v>488</v>
      </c>
      <c r="G456" t="s">
        <v>489</v>
      </c>
      <c r="H456" t="s">
        <v>85</v>
      </c>
      <c r="I456">
        <v>1</v>
      </c>
      <c r="J456" s="4">
        <v>37377</v>
      </c>
      <c r="K456" s="4">
        <v>37377</v>
      </c>
      <c r="L456" s="5">
        <v>0.48958333333333331</v>
      </c>
      <c r="M456" s="5">
        <v>0.51041666666666663</v>
      </c>
      <c r="N456">
        <v>55.525750000000002</v>
      </c>
      <c r="O456">
        <v>13.88649</v>
      </c>
      <c r="P456">
        <v>429706</v>
      </c>
      <c r="Q456">
        <v>6153862</v>
      </c>
      <c r="R456" t="s">
        <v>490</v>
      </c>
      <c r="S456">
        <v>311</v>
      </c>
      <c r="T456" t="s">
        <v>515</v>
      </c>
      <c r="U456" t="s">
        <v>516</v>
      </c>
      <c r="V456" t="s">
        <v>493</v>
      </c>
      <c r="W456" t="s">
        <v>494</v>
      </c>
      <c r="X456" t="s">
        <v>494</v>
      </c>
      <c r="Y456" t="s">
        <v>584</v>
      </c>
      <c r="Z456">
        <v>2</v>
      </c>
      <c r="AA456">
        <v>2</v>
      </c>
      <c r="AC456" t="s">
        <v>512</v>
      </c>
      <c r="AD456" t="s">
        <v>510</v>
      </c>
      <c r="AE456" t="s">
        <v>42</v>
      </c>
      <c r="AF456" t="s">
        <v>496</v>
      </c>
      <c r="AG456" t="b">
        <v>0</v>
      </c>
      <c r="AH456" t="b">
        <v>0</v>
      </c>
      <c r="AI456" t="b">
        <v>0</v>
      </c>
      <c r="AK456" t="s">
        <v>497</v>
      </c>
      <c r="AL456" t="b">
        <v>0</v>
      </c>
      <c r="AM456" t="b">
        <v>0</v>
      </c>
    </row>
    <row r="457" spans="1:39">
      <c r="A457" t="s">
        <v>1199</v>
      </c>
      <c r="B457" t="b">
        <v>1</v>
      </c>
      <c r="C457">
        <v>102990</v>
      </c>
      <c r="D457" t="s">
        <v>39</v>
      </c>
      <c r="E457" t="s">
        <v>40</v>
      </c>
      <c r="F457" t="s">
        <v>488</v>
      </c>
      <c r="G457" t="s">
        <v>489</v>
      </c>
      <c r="H457" t="s">
        <v>41</v>
      </c>
      <c r="I457">
        <v>1</v>
      </c>
      <c r="J457" s="4">
        <v>37377</v>
      </c>
      <c r="K457" s="4">
        <v>37377</v>
      </c>
      <c r="L457" s="5">
        <v>0.48958333333333331</v>
      </c>
      <c r="M457" s="5">
        <v>0.51041666666666663</v>
      </c>
      <c r="N457">
        <v>55.525750000000002</v>
      </c>
      <c r="O457">
        <v>13.88649</v>
      </c>
      <c r="P457">
        <v>429706</v>
      </c>
      <c r="Q457">
        <v>6153862</v>
      </c>
      <c r="R457" t="s">
        <v>490</v>
      </c>
      <c r="S457">
        <v>311</v>
      </c>
      <c r="T457" t="s">
        <v>515</v>
      </c>
      <c r="U457" t="s">
        <v>516</v>
      </c>
      <c r="V457" t="s">
        <v>493</v>
      </c>
      <c r="W457" t="s">
        <v>494</v>
      </c>
      <c r="X457" t="s">
        <v>494</v>
      </c>
      <c r="Y457" t="s">
        <v>584</v>
      </c>
      <c r="Z457">
        <v>1</v>
      </c>
      <c r="AA457">
        <v>1</v>
      </c>
      <c r="AC457" t="s">
        <v>512</v>
      </c>
      <c r="AD457" t="s">
        <v>510</v>
      </c>
      <c r="AE457" t="s">
        <v>42</v>
      </c>
      <c r="AF457" t="s">
        <v>496</v>
      </c>
      <c r="AG457" t="b">
        <v>0</v>
      </c>
      <c r="AH457" t="b">
        <v>0</v>
      </c>
      <c r="AI457" t="b">
        <v>0</v>
      </c>
      <c r="AK457" t="s">
        <v>497</v>
      </c>
      <c r="AL457" t="b">
        <v>0</v>
      </c>
      <c r="AM457" t="b">
        <v>0</v>
      </c>
    </row>
    <row r="458" spans="1:39">
      <c r="A458" t="s">
        <v>1200</v>
      </c>
      <c r="B458" t="b">
        <v>1</v>
      </c>
      <c r="C458">
        <v>102626</v>
      </c>
      <c r="D458" t="s">
        <v>318</v>
      </c>
      <c r="E458" t="s">
        <v>319</v>
      </c>
      <c r="F458" t="s">
        <v>488</v>
      </c>
      <c r="G458" t="s">
        <v>489</v>
      </c>
      <c r="H458" t="s">
        <v>46</v>
      </c>
      <c r="I458">
        <v>1</v>
      </c>
      <c r="J458" s="4">
        <v>39631</v>
      </c>
      <c r="K458" s="4">
        <v>39631</v>
      </c>
      <c r="L458" s="5">
        <v>0</v>
      </c>
      <c r="M458" s="5">
        <v>0</v>
      </c>
      <c r="N458">
        <v>55.555309999999999</v>
      </c>
      <c r="O458">
        <v>13.8569</v>
      </c>
      <c r="P458">
        <v>427893</v>
      </c>
      <c r="Q458">
        <v>6157182</v>
      </c>
      <c r="R458" t="s">
        <v>490</v>
      </c>
      <c r="S458">
        <v>140</v>
      </c>
      <c r="T458" t="s">
        <v>491</v>
      </c>
      <c r="U458" t="s">
        <v>492</v>
      </c>
      <c r="V458" t="s">
        <v>493</v>
      </c>
      <c r="W458" t="s">
        <v>494</v>
      </c>
      <c r="X458" t="s">
        <v>494</v>
      </c>
      <c r="Y458" t="s">
        <v>495</v>
      </c>
      <c r="Z458">
        <v>1</v>
      </c>
      <c r="AA458">
        <v>1</v>
      </c>
      <c r="AC458" t="s">
        <v>512</v>
      </c>
      <c r="AE458" t="s">
        <v>431</v>
      </c>
      <c r="AF458" t="s">
        <v>496</v>
      </c>
      <c r="AG458" t="b">
        <v>0</v>
      </c>
      <c r="AH458" t="b">
        <v>0</v>
      </c>
      <c r="AI458" t="b">
        <v>0</v>
      </c>
      <c r="AK458" t="s">
        <v>497</v>
      </c>
      <c r="AL458" t="b">
        <v>0</v>
      </c>
      <c r="AM458" t="b">
        <v>0</v>
      </c>
    </row>
    <row r="459" spans="1:39">
      <c r="A459" t="s">
        <v>1201</v>
      </c>
      <c r="B459" t="b">
        <v>1</v>
      </c>
      <c r="C459">
        <v>103055</v>
      </c>
      <c r="D459" t="s">
        <v>413</v>
      </c>
      <c r="E459" t="s">
        <v>414</v>
      </c>
      <c r="F459" t="s">
        <v>488</v>
      </c>
      <c r="G459" t="s">
        <v>489</v>
      </c>
      <c r="H459" t="s">
        <v>41</v>
      </c>
      <c r="I459">
        <v>1</v>
      </c>
      <c r="J459" s="4">
        <v>39299</v>
      </c>
      <c r="K459" s="4">
        <v>39299</v>
      </c>
      <c r="L459" s="5">
        <v>0.58333333333333337</v>
      </c>
      <c r="M459" s="5">
        <v>0.65972222222222221</v>
      </c>
      <c r="N459">
        <v>55.527650000000001</v>
      </c>
      <c r="O459">
        <v>13.900119999999999</v>
      </c>
      <c r="P459">
        <v>430570</v>
      </c>
      <c r="Q459">
        <v>6154060</v>
      </c>
      <c r="R459" t="s">
        <v>490</v>
      </c>
      <c r="S459">
        <v>250</v>
      </c>
      <c r="T459" t="s">
        <v>578</v>
      </c>
      <c r="U459" t="s">
        <v>525</v>
      </c>
      <c r="V459" t="s">
        <v>504</v>
      </c>
      <c r="W459" t="s">
        <v>494</v>
      </c>
      <c r="X459" t="s">
        <v>494</v>
      </c>
      <c r="Y459" t="s">
        <v>584</v>
      </c>
      <c r="Z459">
        <v>1</v>
      </c>
      <c r="AA459">
        <v>1</v>
      </c>
      <c r="AC459" t="s">
        <v>512</v>
      </c>
      <c r="AD459" t="s">
        <v>510</v>
      </c>
      <c r="AE459" t="s">
        <v>42</v>
      </c>
      <c r="AF459" t="s">
        <v>496</v>
      </c>
      <c r="AG459" t="b">
        <v>0</v>
      </c>
      <c r="AH459" t="b">
        <v>0</v>
      </c>
      <c r="AI459" t="b">
        <v>0</v>
      </c>
      <c r="AK459" t="s">
        <v>497</v>
      </c>
      <c r="AL459" t="b">
        <v>0</v>
      </c>
      <c r="AM459" t="b">
        <v>0</v>
      </c>
    </row>
    <row r="460" spans="1:39">
      <c r="A460" t="s">
        <v>1202</v>
      </c>
      <c r="B460" t="b">
        <v>1</v>
      </c>
      <c r="C460">
        <v>103055</v>
      </c>
      <c r="D460" t="s">
        <v>413</v>
      </c>
      <c r="E460" t="s">
        <v>414</v>
      </c>
      <c r="F460" t="s">
        <v>488</v>
      </c>
      <c r="G460" t="s">
        <v>489</v>
      </c>
      <c r="H460" t="s">
        <v>41</v>
      </c>
      <c r="I460">
        <v>1</v>
      </c>
      <c r="J460" s="4">
        <v>39497</v>
      </c>
      <c r="K460" s="4">
        <v>39497</v>
      </c>
      <c r="L460" s="5">
        <v>0</v>
      </c>
      <c r="M460" s="5">
        <v>0</v>
      </c>
      <c r="N460">
        <v>55.555309999999999</v>
      </c>
      <c r="O460">
        <v>13.8569</v>
      </c>
      <c r="P460">
        <v>427893</v>
      </c>
      <c r="Q460">
        <v>6157182</v>
      </c>
      <c r="R460" t="s">
        <v>490</v>
      </c>
      <c r="S460">
        <v>140</v>
      </c>
      <c r="T460" t="s">
        <v>491</v>
      </c>
      <c r="U460" t="s">
        <v>492</v>
      </c>
      <c r="V460" t="s">
        <v>493</v>
      </c>
      <c r="W460" t="s">
        <v>494</v>
      </c>
      <c r="X460" t="s">
        <v>494</v>
      </c>
      <c r="Y460" t="s">
        <v>495</v>
      </c>
      <c r="Z460">
        <v>1</v>
      </c>
      <c r="AA460">
        <v>1</v>
      </c>
      <c r="AC460" t="s">
        <v>512</v>
      </c>
      <c r="AD460" t="s">
        <v>510</v>
      </c>
      <c r="AE460" t="s">
        <v>42</v>
      </c>
      <c r="AF460" t="s">
        <v>496</v>
      </c>
      <c r="AG460" t="b">
        <v>0</v>
      </c>
      <c r="AH460" t="b">
        <v>0</v>
      </c>
      <c r="AI460" t="b">
        <v>0</v>
      </c>
      <c r="AK460" t="s">
        <v>497</v>
      </c>
      <c r="AL460" t="b">
        <v>0</v>
      </c>
      <c r="AM460" t="b">
        <v>0</v>
      </c>
    </row>
    <row r="461" spans="1:39">
      <c r="A461" t="s">
        <v>1203</v>
      </c>
      <c r="B461" t="b">
        <v>1</v>
      </c>
      <c r="C461">
        <v>102980</v>
      </c>
      <c r="D461" t="s">
        <v>354</v>
      </c>
      <c r="E461" t="s">
        <v>355</v>
      </c>
      <c r="F461" t="s">
        <v>488</v>
      </c>
      <c r="G461" t="s">
        <v>489</v>
      </c>
      <c r="H461" t="s">
        <v>41</v>
      </c>
      <c r="I461">
        <v>1</v>
      </c>
      <c r="J461" s="4">
        <v>42194</v>
      </c>
      <c r="K461" s="4">
        <v>42194</v>
      </c>
      <c r="N461">
        <v>55.558250000000001</v>
      </c>
      <c r="O461">
        <v>13.85868</v>
      </c>
      <c r="P461">
        <v>428010</v>
      </c>
      <c r="Q461">
        <v>6157507</v>
      </c>
      <c r="R461" t="s">
        <v>490</v>
      </c>
      <c r="S461">
        <v>100</v>
      </c>
      <c r="T461" t="s">
        <v>531</v>
      </c>
      <c r="U461" t="s">
        <v>532</v>
      </c>
      <c r="V461" t="s">
        <v>504</v>
      </c>
      <c r="W461" t="s">
        <v>494</v>
      </c>
      <c r="X461" t="s">
        <v>494</v>
      </c>
      <c r="Y461" t="s">
        <v>495</v>
      </c>
      <c r="Z461">
        <v>2</v>
      </c>
      <c r="AA461">
        <v>2</v>
      </c>
      <c r="AC461" t="s">
        <v>512</v>
      </c>
      <c r="AE461" t="s">
        <v>884</v>
      </c>
      <c r="AF461" t="s">
        <v>496</v>
      </c>
      <c r="AG461" t="b">
        <v>0</v>
      </c>
      <c r="AH461" t="b">
        <v>0</v>
      </c>
      <c r="AI461" t="b">
        <v>0</v>
      </c>
      <c r="AK461" t="s">
        <v>497</v>
      </c>
      <c r="AL461" t="b">
        <v>0</v>
      </c>
      <c r="AM461" t="b">
        <v>0</v>
      </c>
    </row>
    <row r="462" spans="1:39">
      <c r="A462" t="s">
        <v>1204</v>
      </c>
      <c r="B462" t="b">
        <v>1</v>
      </c>
      <c r="C462">
        <v>103012</v>
      </c>
      <c r="D462" t="s">
        <v>358</v>
      </c>
      <c r="E462" t="s">
        <v>359</v>
      </c>
      <c r="F462" t="s">
        <v>488</v>
      </c>
      <c r="G462" t="s">
        <v>489</v>
      </c>
      <c r="H462" t="s">
        <v>41</v>
      </c>
      <c r="I462">
        <v>1</v>
      </c>
      <c r="J462" s="4">
        <v>42125</v>
      </c>
      <c r="K462" s="4">
        <v>42125</v>
      </c>
      <c r="L462" s="5">
        <v>0.59027777777777779</v>
      </c>
      <c r="M462" s="5">
        <v>0.63194444444444442</v>
      </c>
      <c r="N462">
        <v>55.525750000000002</v>
      </c>
      <c r="O462">
        <v>13.88649</v>
      </c>
      <c r="P462">
        <v>429706</v>
      </c>
      <c r="Q462">
        <v>6153862</v>
      </c>
      <c r="R462" t="s">
        <v>490</v>
      </c>
      <c r="S462">
        <v>311</v>
      </c>
      <c r="T462" t="s">
        <v>515</v>
      </c>
      <c r="U462" t="s">
        <v>516</v>
      </c>
      <c r="V462" t="s">
        <v>493</v>
      </c>
      <c r="W462" t="s">
        <v>494</v>
      </c>
      <c r="X462" t="s">
        <v>494</v>
      </c>
      <c r="Y462" t="s">
        <v>1205</v>
      </c>
      <c r="Z462">
        <v>1</v>
      </c>
      <c r="AA462">
        <v>1</v>
      </c>
      <c r="AE462" t="s">
        <v>42</v>
      </c>
      <c r="AF462" t="s">
        <v>496</v>
      </c>
      <c r="AG462" t="b">
        <v>0</v>
      </c>
      <c r="AH462" t="b">
        <v>0</v>
      </c>
      <c r="AI462" t="b">
        <v>0</v>
      </c>
      <c r="AK462" t="s">
        <v>497</v>
      </c>
      <c r="AL462" t="b">
        <v>0</v>
      </c>
      <c r="AM462" t="b">
        <v>0</v>
      </c>
    </row>
    <row r="463" spans="1:39">
      <c r="A463" t="s">
        <v>1206</v>
      </c>
      <c r="B463" t="b">
        <v>1</v>
      </c>
      <c r="C463">
        <v>100049</v>
      </c>
      <c r="D463" t="s">
        <v>295</v>
      </c>
      <c r="E463" t="s">
        <v>296</v>
      </c>
      <c r="F463" t="s">
        <v>488</v>
      </c>
      <c r="G463" t="s">
        <v>489</v>
      </c>
      <c r="H463" t="s">
        <v>46</v>
      </c>
      <c r="I463">
        <v>1</v>
      </c>
      <c r="J463" s="4">
        <v>42003</v>
      </c>
      <c r="K463" s="4">
        <v>42003</v>
      </c>
      <c r="L463" s="5">
        <v>0</v>
      </c>
      <c r="M463" s="5">
        <v>0</v>
      </c>
      <c r="N463">
        <v>55.525750000000002</v>
      </c>
      <c r="O463">
        <v>13.88649</v>
      </c>
      <c r="P463">
        <v>429706</v>
      </c>
      <c r="Q463">
        <v>6153862</v>
      </c>
      <c r="R463" t="s">
        <v>490</v>
      </c>
      <c r="S463">
        <v>311</v>
      </c>
      <c r="T463" t="s">
        <v>515</v>
      </c>
      <c r="U463" t="s">
        <v>516</v>
      </c>
      <c r="V463" t="s">
        <v>493</v>
      </c>
      <c r="W463" t="s">
        <v>494</v>
      </c>
      <c r="X463" t="s">
        <v>494</v>
      </c>
      <c r="Y463" t="s">
        <v>1207</v>
      </c>
      <c r="Z463">
        <v>1</v>
      </c>
      <c r="AA463">
        <v>1</v>
      </c>
      <c r="AE463" t="s">
        <v>42</v>
      </c>
      <c r="AF463" t="s">
        <v>496</v>
      </c>
      <c r="AG463" t="b">
        <v>0</v>
      </c>
      <c r="AH463" t="b">
        <v>0</v>
      </c>
      <c r="AI463" t="b">
        <v>0</v>
      </c>
      <c r="AK463" t="s">
        <v>497</v>
      </c>
      <c r="AL463" t="b">
        <v>0</v>
      </c>
      <c r="AM463" t="b">
        <v>0</v>
      </c>
    </row>
    <row r="464" spans="1:39">
      <c r="A464" t="s">
        <v>1208</v>
      </c>
      <c r="B464" t="b">
        <v>1</v>
      </c>
      <c r="C464">
        <v>103055</v>
      </c>
      <c r="D464" t="s">
        <v>413</v>
      </c>
      <c r="E464" t="s">
        <v>414</v>
      </c>
      <c r="F464" t="s">
        <v>488</v>
      </c>
      <c r="G464" t="s">
        <v>489</v>
      </c>
      <c r="H464" t="s">
        <v>41</v>
      </c>
      <c r="I464">
        <v>1</v>
      </c>
      <c r="J464" s="4">
        <v>44359</v>
      </c>
      <c r="K464" s="4">
        <v>44359</v>
      </c>
      <c r="L464" s="5">
        <v>0.35069444444444442</v>
      </c>
      <c r="M464" s="5">
        <v>0.3923611111111111</v>
      </c>
      <c r="N464">
        <v>55.530740000000002</v>
      </c>
      <c r="O464">
        <v>13.879630000000001</v>
      </c>
      <c r="P464">
        <v>429282</v>
      </c>
      <c r="Q464">
        <v>6154424</v>
      </c>
      <c r="R464" t="s">
        <v>490</v>
      </c>
      <c r="S464">
        <v>310</v>
      </c>
      <c r="T464" t="s">
        <v>499</v>
      </c>
      <c r="U464" t="s">
        <v>492</v>
      </c>
      <c r="V464" t="s">
        <v>493</v>
      </c>
      <c r="W464" t="s">
        <v>494</v>
      </c>
      <c r="X464" t="s">
        <v>494</v>
      </c>
      <c r="Y464" t="s">
        <v>1209</v>
      </c>
      <c r="Z464">
        <v>1</v>
      </c>
      <c r="AA464">
        <v>1</v>
      </c>
      <c r="AE464" t="s">
        <v>42</v>
      </c>
      <c r="AF464" t="s">
        <v>496</v>
      </c>
      <c r="AG464" t="b">
        <v>0</v>
      </c>
      <c r="AH464" t="b">
        <v>0</v>
      </c>
      <c r="AI464" t="b">
        <v>0</v>
      </c>
      <c r="AK464" t="s">
        <v>497</v>
      </c>
      <c r="AL464" t="b">
        <v>0</v>
      </c>
      <c r="AM464" t="b">
        <v>0</v>
      </c>
    </row>
    <row r="465" spans="1:39">
      <c r="A465" t="s">
        <v>1210</v>
      </c>
      <c r="B465" t="b">
        <v>1</v>
      </c>
      <c r="C465">
        <v>102990</v>
      </c>
      <c r="D465" t="s">
        <v>39</v>
      </c>
      <c r="E465" t="s">
        <v>40</v>
      </c>
      <c r="F465" t="s">
        <v>488</v>
      </c>
      <c r="G465" t="s">
        <v>489</v>
      </c>
      <c r="H465" t="s">
        <v>41</v>
      </c>
      <c r="I465">
        <v>1</v>
      </c>
      <c r="J465" s="4">
        <v>44710</v>
      </c>
      <c r="K465" s="4">
        <v>44710</v>
      </c>
      <c r="L465" s="5">
        <v>0.36666666666666664</v>
      </c>
      <c r="M465" s="5">
        <v>0.4909722222222222</v>
      </c>
      <c r="N465">
        <v>55.527650000000001</v>
      </c>
      <c r="O465">
        <v>13.900119999999999</v>
      </c>
      <c r="P465">
        <v>430570</v>
      </c>
      <c r="Q465">
        <v>6154060</v>
      </c>
      <c r="R465" t="s">
        <v>490</v>
      </c>
      <c r="S465">
        <v>250</v>
      </c>
      <c r="T465" t="s">
        <v>578</v>
      </c>
      <c r="U465" t="s">
        <v>525</v>
      </c>
      <c r="V465" t="s">
        <v>504</v>
      </c>
      <c r="W465" t="s">
        <v>494</v>
      </c>
      <c r="X465" t="s">
        <v>494</v>
      </c>
      <c r="Y465" t="s">
        <v>1211</v>
      </c>
      <c r="Z465">
        <v>1</v>
      </c>
      <c r="AA465">
        <v>1</v>
      </c>
      <c r="AE465" t="s">
        <v>42</v>
      </c>
      <c r="AF465" t="s">
        <v>496</v>
      </c>
      <c r="AG465" t="b">
        <v>0</v>
      </c>
      <c r="AH465" t="b">
        <v>0</v>
      </c>
      <c r="AI465" t="b">
        <v>0</v>
      </c>
      <c r="AK465" t="s">
        <v>497</v>
      </c>
      <c r="AL465" t="b">
        <v>0</v>
      </c>
      <c r="AM465" t="b">
        <v>0</v>
      </c>
    </row>
    <row r="466" spans="1:39">
      <c r="A466" t="s">
        <v>1212</v>
      </c>
      <c r="B466" t="b">
        <v>1</v>
      </c>
      <c r="C466">
        <v>102977</v>
      </c>
      <c r="D466" t="s">
        <v>47</v>
      </c>
      <c r="E466" t="s">
        <v>48</v>
      </c>
      <c r="F466" t="s">
        <v>488</v>
      </c>
      <c r="G466" t="s">
        <v>489</v>
      </c>
      <c r="H466" t="s">
        <v>46</v>
      </c>
      <c r="I466">
        <v>1</v>
      </c>
      <c r="J466" s="4">
        <v>43575</v>
      </c>
      <c r="K466" s="4">
        <v>43575</v>
      </c>
      <c r="L466" s="5">
        <v>0.54166666666666663</v>
      </c>
      <c r="M466" s="5">
        <v>0.61111111111111116</v>
      </c>
      <c r="N466">
        <v>55.526710000000001</v>
      </c>
      <c r="O466">
        <v>13.90039</v>
      </c>
      <c r="P466">
        <v>430585</v>
      </c>
      <c r="Q466">
        <v>6153955</v>
      </c>
      <c r="R466" t="s">
        <v>490</v>
      </c>
      <c r="S466">
        <v>250</v>
      </c>
      <c r="T466" t="s">
        <v>894</v>
      </c>
      <c r="U466" t="s">
        <v>525</v>
      </c>
      <c r="V466" t="s">
        <v>504</v>
      </c>
      <c r="W466" t="s">
        <v>494</v>
      </c>
      <c r="X466" t="s">
        <v>494</v>
      </c>
      <c r="Y466" t="s">
        <v>749</v>
      </c>
      <c r="Z466">
        <v>1</v>
      </c>
      <c r="AA466">
        <v>1</v>
      </c>
      <c r="AE466" t="s">
        <v>42</v>
      </c>
      <c r="AF466" t="s">
        <v>496</v>
      </c>
      <c r="AG466" t="b">
        <v>0</v>
      </c>
      <c r="AH466" t="b">
        <v>0</v>
      </c>
      <c r="AI466" t="b">
        <v>0</v>
      </c>
      <c r="AK466" t="s">
        <v>497</v>
      </c>
      <c r="AL466" t="b">
        <v>0</v>
      </c>
      <c r="AM466" t="b">
        <v>0</v>
      </c>
    </row>
    <row r="467" spans="1:39">
      <c r="A467" t="s">
        <v>1213</v>
      </c>
      <c r="B467" t="b">
        <v>1</v>
      </c>
      <c r="C467">
        <v>103036</v>
      </c>
      <c r="D467" t="s">
        <v>324</v>
      </c>
      <c r="E467" t="s">
        <v>325</v>
      </c>
      <c r="F467" t="s">
        <v>488</v>
      </c>
      <c r="G467" t="s">
        <v>489</v>
      </c>
      <c r="H467" t="s">
        <v>46</v>
      </c>
      <c r="I467">
        <v>1</v>
      </c>
      <c r="J467" s="4">
        <v>44747</v>
      </c>
      <c r="K467" s="4">
        <v>44747</v>
      </c>
      <c r="L467" s="5">
        <v>0.72916666666666663</v>
      </c>
      <c r="M467" s="5">
        <v>0.79166666666666663</v>
      </c>
      <c r="N467">
        <v>55.530740000000002</v>
      </c>
      <c r="O467">
        <v>13.879630000000001</v>
      </c>
      <c r="P467">
        <v>429282</v>
      </c>
      <c r="Q467">
        <v>6154424</v>
      </c>
      <c r="R467" t="s">
        <v>490</v>
      </c>
      <c r="S467">
        <v>310</v>
      </c>
      <c r="T467" t="s">
        <v>499</v>
      </c>
      <c r="U467" t="s">
        <v>492</v>
      </c>
      <c r="V467" t="s">
        <v>493</v>
      </c>
      <c r="W467" t="s">
        <v>494</v>
      </c>
      <c r="X467" t="s">
        <v>494</v>
      </c>
      <c r="Y467" t="s">
        <v>536</v>
      </c>
      <c r="Z467">
        <v>1</v>
      </c>
      <c r="AA467">
        <v>1</v>
      </c>
      <c r="AE467" t="s">
        <v>542</v>
      </c>
      <c r="AF467" t="s">
        <v>496</v>
      </c>
      <c r="AG467" t="b">
        <v>0</v>
      </c>
      <c r="AH467" t="b">
        <v>0</v>
      </c>
      <c r="AI467" t="b">
        <v>0</v>
      </c>
      <c r="AK467" t="s">
        <v>497</v>
      </c>
      <c r="AL467" t="b">
        <v>0</v>
      </c>
      <c r="AM467" t="b">
        <v>0</v>
      </c>
    </row>
    <row r="468" spans="1:39">
      <c r="A468" t="s">
        <v>1214</v>
      </c>
      <c r="B468" t="b">
        <v>1</v>
      </c>
      <c r="C468">
        <v>102977</v>
      </c>
      <c r="D468" t="s">
        <v>47</v>
      </c>
      <c r="E468" t="s">
        <v>48</v>
      </c>
      <c r="F468" t="s">
        <v>488</v>
      </c>
      <c r="G468" t="s">
        <v>489</v>
      </c>
      <c r="H468" t="s">
        <v>46</v>
      </c>
      <c r="I468">
        <v>1</v>
      </c>
      <c r="J468" s="4">
        <v>45038</v>
      </c>
      <c r="K468" s="4">
        <v>45038</v>
      </c>
      <c r="N468">
        <v>55.547759999999997</v>
      </c>
      <c r="O468">
        <v>13.86754</v>
      </c>
      <c r="P468">
        <v>428550</v>
      </c>
      <c r="Q468">
        <v>6156331</v>
      </c>
      <c r="R468" t="s">
        <v>490</v>
      </c>
      <c r="S468">
        <v>627</v>
      </c>
      <c r="T468" t="s">
        <v>541</v>
      </c>
      <c r="U468" t="s">
        <v>525</v>
      </c>
      <c r="V468" t="s">
        <v>504</v>
      </c>
      <c r="W468" t="s">
        <v>494</v>
      </c>
      <c r="X468" t="s">
        <v>494</v>
      </c>
      <c r="Y468" t="s">
        <v>1136</v>
      </c>
      <c r="Z468">
        <v>1</v>
      </c>
      <c r="AA468">
        <v>1</v>
      </c>
      <c r="AE468" t="s">
        <v>538</v>
      </c>
      <c r="AF468" t="s">
        <v>496</v>
      </c>
      <c r="AG468" t="b">
        <v>0</v>
      </c>
      <c r="AH468" t="b">
        <v>0</v>
      </c>
      <c r="AI468" t="b">
        <v>0</v>
      </c>
      <c r="AK468" t="s">
        <v>497</v>
      </c>
      <c r="AL468" t="b">
        <v>0</v>
      </c>
      <c r="AM468" t="b">
        <v>0</v>
      </c>
    </row>
    <row r="469" spans="1:39">
      <c r="A469" t="s">
        <v>1215</v>
      </c>
      <c r="B469" t="b">
        <v>1</v>
      </c>
      <c r="C469">
        <v>100124</v>
      </c>
      <c r="D469" t="s">
        <v>352</v>
      </c>
      <c r="E469" t="s">
        <v>353</v>
      </c>
      <c r="F469" t="s">
        <v>488</v>
      </c>
      <c r="G469" t="s">
        <v>489</v>
      </c>
      <c r="H469" t="s">
        <v>81</v>
      </c>
      <c r="I469">
        <v>1</v>
      </c>
      <c r="J469" s="4">
        <v>45066</v>
      </c>
      <c r="K469" s="4">
        <v>45066</v>
      </c>
      <c r="L469" s="5">
        <v>0.69791666666666663</v>
      </c>
      <c r="M469" s="5">
        <v>0.69791666666666663</v>
      </c>
      <c r="N469">
        <v>55.545859999999998</v>
      </c>
      <c r="O469">
        <v>13.981260000000001</v>
      </c>
      <c r="P469">
        <v>435722</v>
      </c>
      <c r="Q469">
        <v>6156008</v>
      </c>
      <c r="R469" t="s">
        <v>490</v>
      </c>
      <c r="S469">
        <v>770</v>
      </c>
      <c r="T469" t="s">
        <v>1052</v>
      </c>
      <c r="U469" t="s">
        <v>947</v>
      </c>
      <c r="V469" t="s">
        <v>504</v>
      </c>
      <c r="W469" t="s">
        <v>494</v>
      </c>
      <c r="X469" t="s">
        <v>494</v>
      </c>
      <c r="Y469" t="s">
        <v>860</v>
      </c>
      <c r="Z469">
        <v>4</v>
      </c>
      <c r="AA469">
        <v>4</v>
      </c>
      <c r="AE469" t="s">
        <v>62</v>
      </c>
      <c r="AF469" t="s">
        <v>496</v>
      </c>
      <c r="AG469" t="b">
        <v>0</v>
      </c>
      <c r="AH469" t="b">
        <v>0</v>
      </c>
      <c r="AI469" t="b">
        <v>0</v>
      </c>
      <c r="AK469" t="s">
        <v>497</v>
      </c>
      <c r="AL469" t="b">
        <v>0</v>
      </c>
      <c r="AM469" t="b">
        <v>0</v>
      </c>
    </row>
    <row r="470" spans="1:39">
      <c r="A470" t="s">
        <v>1216</v>
      </c>
      <c r="B470" t="b">
        <v>1</v>
      </c>
      <c r="C470">
        <v>102977</v>
      </c>
      <c r="D470" t="s">
        <v>47</v>
      </c>
      <c r="E470" t="s">
        <v>48</v>
      </c>
      <c r="F470" t="s">
        <v>488</v>
      </c>
      <c r="G470" t="s">
        <v>489</v>
      </c>
      <c r="H470" t="s">
        <v>46</v>
      </c>
      <c r="I470">
        <v>1</v>
      </c>
      <c r="J470" s="4">
        <v>43196</v>
      </c>
      <c r="K470" s="4">
        <v>43196</v>
      </c>
      <c r="N470">
        <v>55.547759999999997</v>
      </c>
      <c r="O470">
        <v>13.86754</v>
      </c>
      <c r="P470">
        <v>428550</v>
      </c>
      <c r="Q470">
        <v>6156331</v>
      </c>
      <c r="R470" t="s">
        <v>490</v>
      </c>
      <c r="S470">
        <v>627</v>
      </c>
      <c r="T470" t="s">
        <v>541</v>
      </c>
      <c r="U470" t="s">
        <v>525</v>
      </c>
      <c r="V470" t="s">
        <v>504</v>
      </c>
      <c r="W470" t="s">
        <v>494</v>
      </c>
      <c r="X470" t="s">
        <v>494</v>
      </c>
      <c r="Y470" t="s">
        <v>579</v>
      </c>
      <c r="Z470">
        <v>1</v>
      </c>
      <c r="AA470">
        <v>1</v>
      </c>
      <c r="AE470" t="s">
        <v>42</v>
      </c>
      <c r="AF470" t="s">
        <v>496</v>
      </c>
      <c r="AG470" t="b">
        <v>0</v>
      </c>
      <c r="AH470" t="b">
        <v>0</v>
      </c>
      <c r="AI470" t="b">
        <v>0</v>
      </c>
      <c r="AK470" t="s">
        <v>497</v>
      </c>
      <c r="AL470" t="b">
        <v>0</v>
      </c>
      <c r="AM470" t="b">
        <v>0</v>
      </c>
    </row>
    <row r="471" spans="1:39">
      <c r="A471" t="s">
        <v>1217</v>
      </c>
      <c r="B471" t="b">
        <v>1</v>
      </c>
      <c r="C471">
        <v>103012</v>
      </c>
      <c r="D471" t="s">
        <v>358</v>
      </c>
      <c r="E471" t="s">
        <v>359</v>
      </c>
      <c r="F471" t="s">
        <v>488</v>
      </c>
      <c r="G471" t="s">
        <v>489</v>
      </c>
      <c r="H471" t="s">
        <v>41</v>
      </c>
      <c r="I471">
        <v>1</v>
      </c>
      <c r="J471" s="4">
        <v>43626</v>
      </c>
      <c r="K471" s="4">
        <v>43626</v>
      </c>
      <c r="L471" s="5">
        <v>0.73611111111111116</v>
      </c>
      <c r="M471" s="5">
        <v>0.76041666666666663</v>
      </c>
      <c r="N471">
        <v>55.547759999999997</v>
      </c>
      <c r="O471">
        <v>13.86754</v>
      </c>
      <c r="P471">
        <v>428550</v>
      </c>
      <c r="Q471">
        <v>6156331</v>
      </c>
      <c r="R471" t="s">
        <v>490</v>
      </c>
      <c r="S471">
        <v>627</v>
      </c>
      <c r="T471" t="s">
        <v>541</v>
      </c>
      <c r="U471" t="s">
        <v>525</v>
      </c>
      <c r="V471" t="s">
        <v>504</v>
      </c>
      <c r="W471" t="s">
        <v>494</v>
      </c>
      <c r="X471" t="s">
        <v>494</v>
      </c>
      <c r="Y471" t="s">
        <v>617</v>
      </c>
      <c r="Z471">
        <v>1</v>
      </c>
      <c r="AA471">
        <v>1</v>
      </c>
      <c r="AE471" t="s">
        <v>42</v>
      </c>
      <c r="AF471" t="s">
        <v>496</v>
      </c>
      <c r="AG471" t="b">
        <v>0</v>
      </c>
      <c r="AH471" t="b">
        <v>0</v>
      </c>
      <c r="AI471" t="b">
        <v>0</v>
      </c>
      <c r="AK471" t="s">
        <v>497</v>
      </c>
      <c r="AL471" t="b">
        <v>0</v>
      </c>
      <c r="AM471" t="b">
        <v>0</v>
      </c>
    </row>
    <row r="472" spans="1:39">
      <c r="A472" t="s">
        <v>1218</v>
      </c>
      <c r="B472" t="b">
        <v>1</v>
      </c>
      <c r="C472">
        <v>103001</v>
      </c>
      <c r="D472" t="s">
        <v>372</v>
      </c>
      <c r="E472" t="s">
        <v>373</v>
      </c>
      <c r="F472" t="s">
        <v>488</v>
      </c>
      <c r="G472" t="s">
        <v>489</v>
      </c>
      <c r="H472" t="s">
        <v>41</v>
      </c>
      <c r="I472">
        <v>1</v>
      </c>
      <c r="J472" s="4">
        <v>43925</v>
      </c>
      <c r="K472" s="4">
        <v>43925</v>
      </c>
      <c r="L472" s="5">
        <v>0.35416666666666669</v>
      </c>
      <c r="M472" s="5">
        <v>0.35416666666666669</v>
      </c>
      <c r="N472">
        <v>55.538980000000002</v>
      </c>
      <c r="O472">
        <v>13.96345</v>
      </c>
      <c r="P472">
        <v>434586</v>
      </c>
      <c r="Q472">
        <v>6155259</v>
      </c>
      <c r="R472" t="s">
        <v>490</v>
      </c>
      <c r="S472">
        <v>250</v>
      </c>
      <c r="T472" t="s">
        <v>995</v>
      </c>
      <c r="U472" t="s">
        <v>947</v>
      </c>
      <c r="V472" t="s">
        <v>504</v>
      </c>
      <c r="W472" t="s">
        <v>494</v>
      </c>
      <c r="X472" t="s">
        <v>494</v>
      </c>
      <c r="Y472" t="s">
        <v>536</v>
      </c>
      <c r="Z472">
        <v>2</v>
      </c>
      <c r="AA472">
        <v>2</v>
      </c>
      <c r="AE472" t="s">
        <v>538</v>
      </c>
      <c r="AF472" t="s">
        <v>496</v>
      </c>
      <c r="AG472" t="b">
        <v>0</v>
      </c>
      <c r="AH472" t="b">
        <v>0</v>
      </c>
      <c r="AI472" t="b">
        <v>0</v>
      </c>
      <c r="AK472" t="s">
        <v>497</v>
      </c>
      <c r="AL472" t="b">
        <v>0</v>
      </c>
      <c r="AM472" t="b">
        <v>0</v>
      </c>
    </row>
    <row r="473" spans="1:39">
      <c r="A473" t="s">
        <v>1219</v>
      </c>
      <c r="B473" t="b">
        <v>1</v>
      </c>
      <c r="C473">
        <v>103012</v>
      </c>
      <c r="D473" t="s">
        <v>358</v>
      </c>
      <c r="E473" t="s">
        <v>359</v>
      </c>
      <c r="F473" t="s">
        <v>488</v>
      </c>
      <c r="G473" t="s">
        <v>489</v>
      </c>
      <c r="H473" t="s">
        <v>41</v>
      </c>
      <c r="I473">
        <v>1</v>
      </c>
      <c r="J473" s="4">
        <v>43956</v>
      </c>
      <c r="K473" s="4">
        <v>43956</v>
      </c>
      <c r="L473" s="5">
        <v>0.5</v>
      </c>
      <c r="M473" s="5">
        <v>0.57291666666666663</v>
      </c>
      <c r="N473">
        <v>55.538980000000002</v>
      </c>
      <c r="O473">
        <v>13.96345</v>
      </c>
      <c r="P473">
        <v>434586</v>
      </c>
      <c r="Q473">
        <v>6155259</v>
      </c>
      <c r="R473" t="s">
        <v>490</v>
      </c>
      <c r="S473">
        <v>250</v>
      </c>
      <c r="T473" t="s">
        <v>995</v>
      </c>
      <c r="U473" t="s">
        <v>947</v>
      </c>
      <c r="V473" t="s">
        <v>504</v>
      </c>
      <c r="W473" t="s">
        <v>494</v>
      </c>
      <c r="X473" t="s">
        <v>494</v>
      </c>
      <c r="Y473" t="s">
        <v>536</v>
      </c>
      <c r="Z473">
        <v>3</v>
      </c>
      <c r="AA473">
        <v>3</v>
      </c>
      <c r="AE473" t="s">
        <v>42</v>
      </c>
      <c r="AF473" t="s">
        <v>496</v>
      </c>
      <c r="AG473" t="b">
        <v>0</v>
      </c>
      <c r="AH473" t="b">
        <v>0</v>
      </c>
      <c r="AI473" t="b">
        <v>0</v>
      </c>
      <c r="AK473" t="s">
        <v>497</v>
      </c>
      <c r="AL473" t="b">
        <v>0</v>
      </c>
      <c r="AM473" t="b">
        <v>0</v>
      </c>
    </row>
    <row r="474" spans="1:39">
      <c r="A474" t="s">
        <v>1220</v>
      </c>
      <c r="B474" t="b">
        <v>1</v>
      </c>
      <c r="C474">
        <v>102993</v>
      </c>
      <c r="D474" t="s">
        <v>384</v>
      </c>
      <c r="E474" t="s">
        <v>385</v>
      </c>
      <c r="F474" t="s">
        <v>488</v>
      </c>
      <c r="G474" t="s">
        <v>489</v>
      </c>
      <c r="H474" t="s">
        <v>85</v>
      </c>
      <c r="I474">
        <v>1</v>
      </c>
      <c r="J474" s="4">
        <v>44051</v>
      </c>
      <c r="K474" s="4">
        <v>44051</v>
      </c>
      <c r="L474" s="5">
        <v>0.70833333333333337</v>
      </c>
      <c r="M474" s="5">
        <v>0.70833333333333337</v>
      </c>
      <c r="N474">
        <v>55.551600000000001</v>
      </c>
      <c r="O474">
        <v>13.955550000000001</v>
      </c>
      <c r="P474">
        <v>434109</v>
      </c>
      <c r="Q474">
        <v>6156670</v>
      </c>
      <c r="R474" t="s">
        <v>490</v>
      </c>
      <c r="S474">
        <v>250</v>
      </c>
      <c r="T474" t="s">
        <v>765</v>
      </c>
      <c r="U474" t="s">
        <v>508</v>
      </c>
      <c r="V474" t="s">
        <v>504</v>
      </c>
      <c r="W474" t="s">
        <v>494</v>
      </c>
      <c r="X474" t="s">
        <v>494</v>
      </c>
      <c r="Y474" t="s">
        <v>536</v>
      </c>
      <c r="AE474" t="s">
        <v>538</v>
      </c>
      <c r="AF474" t="s">
        <v>496</v>
      </c>
      <c r="AG474" t="b">
        <v>0</v>
      </c>
      <c r="AH474" t="b">
        <v>0</v>
      </c>
      <c r="AI474" t="b">
        <v>0</v>
      </c>
      <c r="AK474" t="s">
        <v>497</v>
      </c>
      <c r="AL474" t="b">
        <v>0</v>
      </c>
      <c r="AM474" t="b">
        <v>0</v>
      </c>
    </row>
    <row r="475" spans="1:39">
      <c r="A475" t="s">
        <v>1221</v>
      </c>
      <c r="B475" t="b">
        <v>1</v>
      </c>
      <c r="C475">
        <v>103042</v>
      </c>
      <c r="D475" t="s">
        <v>398</v>
      </c>
      <c r="E475" t="s">
        <v>399</v>
      </c>
      <c r="F475" t="s">
        <v>488</v>
      </c>
      <c r="G475" t="s">
        <v>489</v>
      </c>
      <c r="H475" t="s">
        <v>85</v>
      </c>
      <c r="I475">
        <v>1</v>
      </c>
      <c r="J475" s="4">
        <v>45108</v>
      </c>
      <c r="K475" s="4">
        <v>45108</v>
      </c>
      <c r="L475" s="5">
        <v>0.41666666666666669</v>
      </c>
      <c r="M475" s="5">
        <v>0.6875</v>
      </c>
      <c r="N475">
        <v>55.553350000000002</v>
      </c>
      <c r="O475">
        <v>13.904</v>
      </c>
      <c r="P475">
        <v>430860</v>
      </c>
      <c r="Q475">
        <v>6156916</v>
      </c>
      <c r="R475" t="s">
        <v>490</v>
      </c>
      <c r="S475">
        <v>10</v>
      </c>
      <c r="T475" t="s">
        <v>1222</v>
      </c>
      <c r="U475" t="s">
        <v>532</v>
      </c>
      <c r="V475" t="s">
        <v>504</v>
      </c>
      <c r="W475" t="s">
        <v>494</v>
      </c>
      <c r="X475" t="s">
        <v>494</v>
      </c>
      <c r="Y475" t="s">
        <v>866</v>
      </c>
      <c r="Z475">
        <v>1</v>
      </c>
      <c r="AA475">
        <v>1</v>
      </c>
      <c r="AE475" t="s">
        <v>42</v>
      </c>
      <c r="AF475" t="s">
        <v>496</v>
      </c>
      <c r="AG475" t="b">
        <v>0</v>
      </c>
      <c r="AH475" t="b">
        <v>0</v>
      </c>
      <c r="AI475" t="b">
        <v>0</v>
      </c>
      <c r="AK475" t="s">
        <v>497</v>
      </c>
      <c r="AL475" t="b">
        <v>0</v>
      </c>
      <c r="AM475" t="b">
        <v>0</v>
      </c>
    </row>
    <row r="476" spans="1:39">
      <c r="A476" t="s">
        <v>1223</v>
      </c>
      <c r="B476" t="b">
        <v>1</v>
      </c>
      <c r="C476">
        <v>100124</v>
      </c>
      <c r="D476" t="s">
        <v>352</v>
      </c>
      <c r="E476" t="s">
        <v>353</v>
      </c>
      <c r="F476" t="s">
        <v>488</v>
      </c>
      <c r="G476" t="s">
        <v>489</v>
      </c>
      <c r="H476" t="s">
        <v>81</v>
      </c>
      <c r="I476">
        <v>1</v>
      </c>
      <c r="J476" s="4">
        <v>45505</v>
      </c>
      <c r="K476" s="4">
        <v>45505</v>
      </c>
      <c r="L476" s="5">
        <v>0.5</v>
      </c>
      <c r="M476" s="5">
        <v>0.5</v>
      </c>
      <c r="N476">
        <v>55.548569999999998</v>
      </c>
      <c r="O476">
        <v>13.97132</v>
      </c>
      <c r="P476">
        <v>435099</v>
      </c>
      <c r="Q476">
        <v>6156319</v>
      </c>
      <c r="R476" t="s">
        <v>490</v>
      </c>
      <c r="S476">
        <v>200</v>
      </c>
      <c r="T476" t="s">
        <v>658</v>
      </c>
      <c r="U476" t="s">
        <v>508</v>
      </c>
      <c r="V476" t="s">
        <v>504</v>
      </c>
      <c r="W476" t="s">
        <v>494</v>
      </c>
      <c r="X476" t="s">
        <v>494</v>
      </c>
      <c r="Y476" t="s">
        <v>536</v>
      </c>
      <c r="Z476">
        <v>8</v>
      </c>
      <c r="AA476">
        <v>8</v>
      </c>
      <c r="AE476" t="s">
        <v>62</v>
      </c>
      <c r="AF476" t="s">
        <v>496</v>
      </c>
      <c r="AG476" t="b">
        <v>0</v>
      </c>
      <c r="AH476" t="b">
        <v>0</v>
      </c>
      <c r="AI476" t="b">
        <v>0</v>
      </c>
      <c r="AK476" t="s">
        <v>497</v>
      </c>
      <c r="AL476" t="b">
        <v>0</v>
      </c>
      <c r="AM476" t="b">
        <v>0</v>
      </c>
    </row>
    <row r="477" spans="1:39">
      <c r="A477" t="s">
        <v>1224</v>
      </c>
      <c r="B477" t="b">
        <v>1</v>
      </c>
      <c r="C477">
        <v>103055</v>
      </c>
      <c r="D477" t="s">
        <v>413</v>
      </c>
      <c r="E477" t="s">
        <v>414</v>
      </c>
      <c r="F477" t="s">
        <v>488</v>
      </c>
      <c r="G477" t="s">
        <v>489</v>
      </c>
      <c r="H477" t="s">
        <v>41</v>
      </c>
      <c r="I477">
        <v>1</v>
      </c>
      <c r="J477" s="4">
        <v>40969</v>
      </c>
      <c r="K477" s="4">
        <v>40969</v>
      </c>
      <c r="L477" s="5">
        <v>0.31041666666666667</v>
      </c>
      <c r="M477" s="5">
        <v>0.34027777777777779</v>
      </c>
      <c r="N477">
        <v>55.547759999999997</v>
      </c>
      <c r="O477">
        <v>13.86754</v>
      </c>
      <c r="P477">
        <v>428550</v>
      </c>
      <c r="Q477">
        <v>6156331</v>
      </c>
      <c r="R477" t="s">
        <v>490</v>
      </c>
      <c r="S477">
        <v>627</v>
      </c>
      <c r="T477" t="s">
        <v>541</v>
      </c>
      <c r="U477" t="s">
        <v>525</v>
      </c>
      <c r="V477" t="s">
        <v>504</v>
      </c>
      <c r="W477" t="s">
        <v>494</v>
      </c>
      <c r="X477" t="s">
        <v>494</v>
      </c>
      <c r="Y477" t="s">
        <v>1225</v>
      </c>
      <c r="Z477">
        <v>1</v>
      </c>
      <c r="AA477">
        <v>1</v>
      </c>
      <c r="AE477" t="s">
        <v>42</v>
      </c>
      <c r="AF477" t="s">
        <v>496</v>
      </c>
      <c r="AG477" t="b">
        <v>0</v>
      </c>
      <c r="AH477" t="b">
        <v>0</v>
      </c>
      <c r="AI477" t="b">
        <v>0</v>
      </c>
      <c r="AK477" t="s">
        <v>497</v>
      </c>
      <c r="AL477" t="b">
        <v>0</v>
      </c>
      <c r="AM477" t="b">
        <v>0</v>
      </c>
    </row>
    <row r="478" spans="1:39">
      <c r="A478" t="s">
        <v>1226</v>
      </c>
      <c r="B478" t="b">
        <v>1</v>
      </c>
      <c r="C478">
        <v>102990</v>
      </c>
      <c r="D478" t="s">
        <v>39</v>
      </c>
      <c r="E478" t="s">
        <v>40</v>
      </c>
      <c r="F478" t="s">
        <v>488</v>
      </c>
      <c r="G478" t="s">
        <v>489</v>
      </c>
      <c r="H478" t="s">
        <v>41</v>
      </c>
      <c r="I478">
        <v>1</v>
      </c>
      <c r="J478" s="4">
        <v>41029</v>
      </c>
      <c r="K478" s="4">
        <v>41029</v>
      </c>
      <c r="L478" s="5">
        <v>0.54513888888888884</v>
      </c>
      <c r="M478" s="5">
        <v>0.59027777777777779</v>
      </c>
      <c r="N478">
        <v>55.530740000000002</v>
      </c>
      <c r="O478">
        <v>13.879630000000001</v>
      </c>
      <c r="P478">
        <v>429282</v>
      </c>
      <c r="Q478">
        <v>6154424</v>
      </c>
      <c r="R478" t="s">
        <v>490</v>
      </c>
      <c r="S478">
        <v>310</v>
      </c>
      <c r="T478" t="s">
        <v>499</v>
      </c>
      <c r="U478" t="s">
        <v>492</v>
      </c>
      <c r="V478" t="s">
        <v>493</v>
      </c>
      <c r="W478" t="s">
        <v>494</v>
      </c>
      <c r="X478" t="s">
        <v>494</v>
      </c>
      <c r="Y478" t="s">
        <v>685</v>
      </c>
      <c r="Z478">
        <v>1</v>
      </c>
      <c r="AA478">
        <v>1</v>
      </c>
      <c r="AE478" t="s">
        <v>42</v>
      </c>
      <c r="AF478" t="s">
        <v>496</v>
      </c>
      <c r="AG478" t="b">
        <v>0</v>
      </c>
      <c r="AH478" t="b">
        <v>0</v>
      </c>
      <c r="AI478" t="b">
        <v>0</v>
      </c>
      <c r="AK478" t="s">
        <v>497</v>
      </c>
      <c r="AL478" t="b">
        <v>0</v>
      </c>
      <c r="AM478" t="b">
        <v>0</v>
      </c>
    </row>
    <row r="479" spans="1:39">
      <c r="A479" t="s">
        <v>1227</v>
      </c>
      <c r="B479" t="b">
        <v>1</v>
      </c>
      <c r="C479">
        <v>103037</v>
      </c>
      <c r="D479" t="s">
        <v>368</v>
      </c>
      <c r="E479" t="s">
        <v>369</v>
      </c>
      <c r="F479" t="s">
        <v>488</v>
      </c>
      <c r="G479" t="s">
        <v>489</v>
      </c>
      <c r="H479" t="s">
        <v>85</v>
      </c>
      <c r="I479">
        <v>1</v>
      </c>
      <c r="J479" s="4">
        <v>40272</v>
      </c>
      <c r="K479" s="4">
        <v>40272</v>
      </c>
      <c r="L479" s="5">
        <v>0</v>
      </c>
      <c r="M479" s="5">
        <v>0</v>
      </c>
      <c r="N479">
        <v>55.555309999999999</v>
      </c>
      <c r="O479">
        <v>13.8569</v>
      </c>
      <c r="P479">
        <v>427893</v>
      </c>
      <c r="Q479">
        <v>6157182</v>
      </c>
      <c r="R479" t="s">
        <v>490</v>
      </c>
      <c r="S479">
        <v>140</v>
      </c>
      <c r="T479" t="s">
        <v>491</v>
      </c>
      <c r="U479" t="s">
        <v>492</v>
      </c>
      <c r="V479" t="s">
        <v>493</v>
      </c>
      <c r="W479" t="s">
        <v>494</v>
      </c>
      <c r="X479" t="s">
        <v>494</v>
      </c>
      <c r="Y479" t="s">
        <v>495</v>
      </c>
      <c r="Z479">
        <v>8</v>
      </c>
      <c r="AA479">
        <v>8</v>
      </c>
      <c r="AD479" t="s">
        <v>527</v>
      </c>
      <c r="AE479" t="s">
        <v>52</v>
      </c>
      <c r="AF479" t="s">
        <v>496</v>
      </c>
      <c r="AG479" t="b">
        <v>0</v>
      </c>
      <c r="AH479" t="b">
        <v>0</v>
      </c>
      <c r="AI479" t="b">
        <v>0</v>
      </c>
      <c r="AK479" t="s">
        <v>497</v>
      </c>
      <c r="AL479" t="b">
        <v>0</v>
      </c>
      <c r="AM479" t="b">
        <v>0</v>
      </c>
    </row>
    <row r="480" spans="1:39">
      <c r="A480" t="s">
        <v>1228</v>
      </c>
      <c r="B480" t="b">
        <v>1</v>
      </c>
      <c r="C480">
        <v>103042</v>
      </c>
      <c r="D480" t="s">
        <v>398</v>
      </c>
      <c r="E480" t="s">
        <v>399</v>
      </c>
      <c r="F480" t="s">
        <v>488</v>
      </c>
      <c r="G480" t="s">
        <v>489</v>
      </c>
      <c r="H480" t="s">
        <v>85</v>
      </c>
      <c r="I480">
        <v>1</v>
      </c>
      <c r="J480" s="4">
        <v>41100</v>
      </c>
      <c r="K480" s="4">
        <v>41100</v>
      </c>
      <c r="L480" s="5">
        <v>0.4861111111111111</v>
      </c>
      <c r="M480" s="5">
        <v>0.4861111111111111</v>
      </c>
      <c r="N480">
        <v>55.555309999999999</v>
      </c>
      <c r="O480">
        <v>13.8569</v>
      </c>
      <c r="P480">
        <v>427893</v>
      </c>
      <c r="Q480">
        <v>6157182</v>
      </c>
      <c r="R480" t="s">
        <v>490</v>
      </c>
      <c r="S480">
        <v>140</v>
      </c>
      <c r="T480" t="s">
        <v>491</v>
      </c>
      <c r="U480" t="s">
        <v>492</v>
      </c>
      <c r="V480" t="s">
        <v>493</v>
      </c>
      <c r="W480" t="s">
        <v>494</v>
      </c>
      <c r="X480" t="s">
        <v>494</v>
      </c>
      <c r="Y480" t="s">
        <v>1229</v>
      </c>
      <c r="Z480">
        <v>2</v>
      </c>
      <c r="AA480">
        <v>2</v>
      </c>
      <c r="AE480" t="s">
        <v>42</v>
      </c>
      <c r="AF480" t="s">
        <v>496</v>
      </c>
      <c r="AG480" t="b">
        <v>0</v>
      </c>
      <c r="AH480" t="b">
        <v>0</v>
      </c>
      <c r="AI480" t="b">
        <v>0</v>
      </c>
      <c r="AK480" t="s">
        <v>497</v>
      </c>
      <c r="AL480" t="b">
        <v>0</v>
      </c>
      <c r="AM480" t="b">
        <v>0</v>
      </c>
    </row>
    <row r="481" spans="1:39">
      <c r="A481" t="s">
        <v>1230</v>
      </c>
      <c r="B481" t="b">
        <v>1</v>
      </c>
      <c r="C481">
        <v>103037</v>
      </c>
      <c r="D481" t="s">
        <v>368</v>
      </c>
      <c r="E481" t="s">
        <v>369</v>
      </c>
      <c r="F481" t="s">
        <v>488</v>
      </c>
      <c r="G481" t="s">
        <v>489</v>
      </c>
      <c r="H481" t="s">
        <v>85</v>
      </c>
      <c r="I481">
        <v>1</v>
      </c>
      <c r="J481" s="4">
        <v>40321</v>
      </c>
      <c r="K481" s="4">
        <v>40321</v>
      </c>
      <c r="L481" s="5">
        <v>0</v>
      </c>
      <c r="M481" s="5">
        <v>0</v>
      </c>
      <c r="N481">
        <v>55.555309999999999</v>
      </c>
      <c r="O481">
        <v>13.8569</v>
      </c>
      <c r="P481">
        <v>427893</v>
      </c>
      <c r="Q481">
        <v>6157182</v>
      </c>
      <c r="R481" t="s">
        <v>490</v>
      </c>
      <c r="S481">
        <v>140</v>
      </c>
      <c r="T481" t="s">
        <v>491</v>
      </c>
      <c r="U481" t="s">
        <v>492</v>
      </c>
      <c r="V481" t="s">
        <v>493</v>
      </c>
      <c r="W481" t="s">
        <v>494</v>
      </c>
      <c r="X481" t="s">
        <v>494</v>
      </c>
      <c r="Y481" t="s">
        <v>495</v>
      </c>
      <c r="Z481">
        <v>8</v>
      </c>
      <c r="AA481">
        <v>8</v>
      </c>
      <c r="AC481" t="s">
        <v>512</v>
      </c>
      <c r="AD481" t="s">
        <v>527</v>
      </c>
      <c r="AE481" t="s">
        <v>884</v>
      </c>
      <c r="AF481" t="s">
        <v>496</v>
      </c>
      <c r="AG481" t="b">
        <v>0</v>
      </c>
      <c r="AH481" t="b">
        <v>0</v>
      </c>
      <c r="AI481" t="b">
        <v>0</v>
      </c>
      <c r="AK481" t="s">
        <v>497</v>
      </c>
      <c r="AL481" t="b">
        <v>0</v>
      </c>
      <c r="AM481" t="b">
        <v>0</v>
      </c>
    </row>
    <row r="482" spans="1:39">
      <c r="A482" t="s">
        <v>1231</v>
      </c>
      <c r="B482" t="b">
        <v>1</v>
      </c>
      <c r="C482">
        <v>103055</v>
      </c>
      <c r="D482" t="s">
        <v>413</v>
      </c>
      <c r="E482" t="s">
        <v>414</v>
      </c>
      <c r="F482" t="s">
        <v>488</v>
      </c>
      <c r="G482" t="s">
        <v>489</v>
      </c>
      <c r="H482" t="s">
        <v>41</v>
      </c>
      <c r="I482">
        <v>1</v>
      </c>
      <c r="J482" s="4">
        <v>39665</v>
      </c>
      <c r="K482" s="4">
        <v>39665</v>
      </c>
      <c r="L482" s="5">
        <v>0</v>
      </c>
      <c r="M482" s="5">
        <v>0</v>
      </c>
      <c r="N482">
        <v>55.54081</v>
      </c>
      <c r="O482">
        <v>13.95609</v>
      </c>
      <c r="P482">
        <v>434125</v>
      </c>
      <c r="Q482">
        <v>6155470</v>
      </c>
      <c r="R482" t="s">
        <v>490</v>
      </c>
      <c r="S482">
        <v>1500</v>
      </c>
      <c r="T482" t="s">
        <v>507</v>
      </c>
      <c r="U482" t="s">
        <v>508</v>
      </c>
      <c r="V482" t="s">
        <v>504</v>
      </c>
      <c r="W482" t="s">
        <v>494</v>
      </c>
      <c r="X482" t="s">
        <v>494</v>
      </c>
      <c r="Y482" t="s">
        <v>1232</v>
      </c>
      <c r="Z482">
        <v>1</v>
      </c>
      <c r="AA482">
        <v>1</v>
      </c>
      <c r="AD482" t="s">
        <v>510</v>
      </c>
      <c r="AE482" t="s">
        <v>42</v>
      </c>
      <c r="AF482" t="s">
        <v>496</v>
      </c>
      <c r="AG482" t="b">
        <v>0</v>
      </c>
      <c r="AH482" t="b">
        <v>0</v>
      </c>
      <c r="AI482" t="b">
        <v>0</v>
      </c>
      <c r="AK482" t="s">
        <v>497</v>
      </c>
      <c r="AL482" t="b">
        <v>0</v>
      </c>
      <c r="AM482" t="b">
        <v>0</v>
      </c>
    </row>
    <row r="483" spans="1:39">
      <c r="A483" t="s">
        <v>1233</v>
      </c>
      <c r="B483" t="b">
        <v>1</v>
      </c>
      <c r="C483">
        <v>103051</v>
      </c>
      <c r="D483" t="s">
        <v>396</v>
      </c>
      <c r="E483" t="s">
        <v>397</v>
      </c>
      <c r="F483" t="s">
        <v>488</v>
      </c>
      <c r="G483" t="s">
        <v>489</v>
      </c>
      <c r="H483" t="s">
        <v>41</v>
      </c>
      <c r="I483">
        <v>1</v>
      </c>
      <c r="J483" s="4">
        <v>37082</v>
      </c>
      <c r="K483" s="4">
        <v>37082</v>
      </c>
      <c r="L483" s="5">
        <v>0</v>
      </c>
      <c r="M483" s="5">
        <v>0</v>
      </c>
      <c r="N483">
        <v>55.527650000000001</v>
      </c>
      <c r="O483">
        <v>13.900119999999999</v>
      </c>
      <c r="P483">
        <v>430570</v>
      </c>
      <c r="Q483">
        <v>6154060</v>
      </c>
      <c r="R483" t="s">
        <v>490</v>
      </c>
      <c r="S483">
        <v>250</v>
      </c>
      <c r="T483" t="s">
        <v>578</v>
      </c>
      <c r="U483" t="s">
        <v>525</v>
      </c>
      <c r="V483" t="s">
        <v>504</v>
      </c>
      <c r="W483" t="s">
        <v>494</v>
      </c>
      <c r="X483" t="s">
        <v>494</v>
      </c>
      <c r="Y483" t="s">
        <v>1234</v>
      </c>
      <c r="Z483">
        <v>1</v>
      </c>
      <c r="AA483">
        <v>1</v>
      </c>
      <c r="AE483" t="s">
        <v>42</v>
      </c>
      <c r="AF483" t="s">
        <v>496</v>
      </c>
      <c r="AG483" t="b">
        <v>0</v>
      </c>
      <c r="AH483" t="b">
        <v>0</v>
      </c>
      <c r="AI483" t="b">
        <v>0</v>
      </c>
      <c r="AK483" t="s">
        <v>497</v>
      </c>
      <c r="AL483" t="b">
        <v>0</v>
      </c>
      <c r="AM483" t="b">
        <v>0</v>
      </c>
    </row>
    <row r="484" spans="1:39">
      <c r="A484" t="s">
        <v>1235</v>
      </c>
      <c r="B484" t="b">
        <v>1</v>
      </c>
      <c r="C484">
        <v>100049</v>
      </c>
      <c r="D484" t="s">
        <v>295</v>
      </c>
      <c r="E484" t="s">
        <v>296</v>
      </c>
      <c r="F484" t="s">
        <v>488</v>
      </c>
      <c r="G484" t="s">
        <v>489</v>
      </c>
      <c r="H484" t="s">
        <v>46</v>
      </c>
      <c r="I484">
        <v>1</v>
      </c>
      <c r="J484" s="4">
        <v>41746</v>
      </c>
      <c r="K484" s="4">
        <v>41746</v>
      </c>
      <c r="L484" s="5">
        <v>0.31944444444444442</v>
      </c>
      <c r="M484" s="5">
        <v>0.35069444444444442</v>
      </c>
      <c r="N484">
        <v>55.530740000000002</v>
      </c>
      <c r="O484">
        <v>13.879630000000001</v>
      </c>
      <c r="P484">
        <v>429282</v>
      </c>
      <c r="Q484">
        <v>6154424</v>
      </c>
      <c r="R484" t="s">
        <v>490</v>
      </c>
      <c r="S484">
        <v>310</v>
      </c>
      <c r="T484" t="s">
        <v>499</v>
      </c>
      <c r="U484" t="s">
        <v>492</v>
      </c>
      <c r="V484" t="s">
        <v>493</v>
      </c>
      <c r="W484" t="s">
        <v>494</v>
      </c>
      <c r="X484" t="s">
        <v>494</v>
      </c>
      <c r="Y484" t="s">
        <v>839</v>
      </c>
      <c r="Z484">
        <v>1</v>
      </c>
      <c r="AA484">
        <v>1</v>
      </c>
      <c r="AE484" t="s">
        <v>42</v>
      </c>
      <c r="AF484" t="s">
        <v>496</v>
      </c>
      <c r="AG484" t="b">
        <v>0</v>
      </c>
      <c r="AH484" t="b">
        <v>0</v>
      </c>
      <c r="AI484" t="b">
        <v>0</v>
      </c>
      <c r="AK484" t="s">
        <v>497</v>
      </c>
      <c r="AL484" t="b">
        <v>0</v>
      </c>
      <c r="AM484" t="b">
        <v>0</v>
      </c>
    </row>
    <row r="485" spans="1:39">
      <c r="A485" t="s">
        <v>1236</v>
      </c>
      <c r="B485" t="b">
        <v>1</v>
      </c>
      <c r="C485">
        <v>103036</v>
      </c>
      <c r="D485" t="s">
        <v>324</v>
      </c>
      <c r="E485" t="s">
        <v>325</v>
      </c>
      <c r="F485" t="s">
        <v>488</v>
      </c>
      <c r="G485" t="s">
        <v>489</v>
      </c>
      <c r="H485" t="s">
        <v>46</v>
      </c>
      <c r="I485">
        <v>1</v>
      </c>
      <c r="J485" s="4">
        <v>42876</v>
      </c>
      <c r="K485" s="4">
        <v>42876</v>
      </c>
      <c r="N485">
        <v>55.530740000000002</v>
      </c>
      <c r="O485">
        <v>13.879630000000001</v>
      </c>
      <c r="P485">
        <v>429282</v>
      </c>
      <c r="Q485">
        <v>6154424</v>
      </c>
      <c r="R485" t="s">
        <v>490</v>
      </c>
      <c r="S485">
        <v>310</v>
      </c>
      <c r="T485" t="s">
        <v>499</v>
      </c>
      <c r="U485" t="s">
        <v>492</v>
      </c>
      <c r="V485" t="s">
        <v>493</v>
      </c>
      <c r="W485" t="s">
        <v>494</v>
      </c>
      <c r="X485" t="s">
        <v>494</v>
      </c>
      <c r="Y485" t="s">
        <v>1237</v>
      </c>
      <c r="Z485">
        <v>4</v>
      </c>
      <c r="AA485">
        <v>4</v>
      </c>
      <c r="AE485" t="s">
        <v>538</v>
      </c>
      <c r="AF485" t="s">
        <v>496</v>
      </c>
      <c r="AG485" t="b">
        <v>0</v>
      </c>
      <c r="AH485" t="b">
        <v>0</v>
      </c>
      <c r="AI485" t="b">
        <v>0</v>
      </c>
      <c r="AK485" t="s">
        <v>497</v>
      </c>
      <c r="AL485" t="b">
        <v>0</v>
      </c>
      <c r="AM485" t="b">
        <v>0</v>
      </c>
    </row>
    <row r="486" spans="1:39">
      <c r="A486" t="s">
        <v>1238</v>
      </c>
      <c r="B486" t="b">
        <v>1</v>
      </c>
      <c r="C486">
        <v>103055</v>
      </c>
      <c r="D486" t="s">
        <v>413</v>
      </c>
      <c r="E486" t="s">
        <v>414</v>
      </c>
      <c r="F486" t="s">
        <v>488</v>
      </c>
      <c r="G486" t="s">
        <v>489</v>
      </c>
      <c r="H486" t="s">
        <v>41</v>
      </c>
      <c r="I486">
        <v>1</v>
      </c>
      <c r="J486" s="4">
        <v>43232</v>
      </c>
      <c r="K486" s="4">
        <v>43232</v>
      </c>
      <c r="L486" s="5">
        <v>0.66666666666666663</v>
      </c>
      <c r="M486" s="5">
        <v>0.75</v>
      </c>
      <c r="N486">
        <v>55.547759999999997</v>
      </c>
      <c r="O486">
        <v>13.86754</v>
      </c>
      <c r="P486">
        <v>428550</v>
      </c>
      <c r="Q486">
        <v>6156331</v>
      </c>
      <c r="R486" t="s">
        <v>490</v>
      </c>
      <c r="S486">
        <v>627</v>
      </c>
      <c r="T486" t="s">
        <v>541</v>
      </c>
      <c r="U486" t="s">
        <v>525</v>
      </c>
      <c r="V486" t="s">
        <v>504</v>
      </c>
      <c r="W486" t="s">
        <v>494</v>
      </c>
      <c r="X486" t="s">
        <v>494</v>
      </c>
      <c r="Y486" t="s">
        <v>848</v>
      </c>
      <c r="Z486">
        <v>1</v>
      </c>
      <c r="AA486">
        <v>1</v>
      </c>
      <c r="AE486" t="s">
        <v>42</v>
      </c>
      <c r="AF486" t="s">
        <v>496</v>
      </c>
      <c r="AG486" t="b">
        <v>0</v>
      </c>
      <c r="AH486" t="b">
        <v>0</v>
      </c>
      <c r="AI486" t="b">
        <v>0</v>
      </c>
      <c r="AK486" t="s">
        <v>497</v>
      </c>
      <c r="AL486" t="b">
        <v>0</v>
      </c>
      <c r="AM486" t="b">
        <v>0</v>
      </c>
    </row>
    <row r="487" spans="1:39">
      <c r="A487" t="s">
        <v>1239</v>
      </c>
      <c r="B487" t="b">
        <v>1</v>
      </c>
      <c r="C487">
        <v>103055</v>
      </c>
      <c r="D487" t="s">
        <v>413</v>
      </c>
      <c r="E487" t="s">
        <v>414</v>
      </c>
      <c r="F487" t="s">
        <v>488</v>
      </c>
      <c r="G487" t="s">
        <v>489</v>
      </c>
      <c r="H487" t="s">
        <v>41</v>
      </c>
      <c r="I487">
        <v>1</v>
      </c>
      <c r="J487" s="4">
        <v>43230</v>
      </c>
      <c r="K487" s="4">
        <v>43230</v>
      </c>
      <c r="N487">
        <v>55.527650000000001</v>
      </c>
      <c r="O487">
        <v>13.900119999999999</v>
      </c>
      <c r="P487">
        <v>430570</v>
      </c>
      <c r="Q487">
        <v>6154060</v>
      </c>
      <c r="R487" t="s">
        <v>490</v>
      </c>
      <c r="S487">
        <v>250</v>
      </c>
      <c r="T487" t="s">
        <v>578</v>
      </c>
      <c r="U487" t="s">
        <v>525</v>
      </c>
      <c r="V487" t="s">
        <v>504</v>
      </c>
      <c r="W487" t="s">
        <v>494</v>
      </c>
      <c r="X487" t="s">
        <v>494</v>
      </c>
      <c r="Y487" t="s">
        <v>579</v>
      </c>
      <c r="Z487">
        <v>2</v>
      </c>
      <c r="AA487">
        <v>2</v>
      </c>
      <c r="AE487" t="s">
        <v>42</v>
      </c>
      <c r="AF487" t="s">
        <v>496</v>
      </c>
      <c r="AG487" t="b">
        <v>0</v>
      </c>
      <c r="AH487" t="b">
        <v>0</v>
      </c>
      <c r="AI487" t="b">
        <v>0</v>
      </c>
      <c r="AK487" t="s">
        <v>497</v>
      </c>
      <c r="AL487" t="b">
        <v>0</v>
      </c>
      <c r="AM487" t="b">
        <v>0</v>
      </c>
    </row>
    <row r="488" spans="1:39">
      <c r="A488" t="s">
        <v>1240</v>
      </c>
      <c r="B488" t="b">
        <v>1</v>
      </c>
      <c r="C488">
        <v>103012</v>
      </c>
      <c r="D488" t="s">
        <v>358</v>
      </c>
      <c r="E488" t="s">
        <v>359</v>
      </c>
      <c r="F488" t="s">
        <v>488</v>
      </c>
      <c r="G488" t="s">
        <v>489</v>
      </c>
      <c r="H488" t="s">
        <v>41</v>
      </c>
      <c r="I488">
        <v>1</v>
      </c>
      <c r="J488" s="4">
        <v>43221</v>
      </c>
      <c r="K488" s="4">
        <v>43221</v>
      </c>
      <c r="L488" s="5">
        <v>0.45833333333333331</v>
      </c>
      <c r="M488" s="5">
        <v>0.52083333333333337</v>
      </c>
      <c r="N488">
        <v>55.5351</v>
      </c>
      <c r="O488">
        <v>13.95862</v>
      </c>
      <c r="P488">
        <v>434276</v>
      </c>
      <c r="Q488">
        <v>6154832</v>
      </c>
      <c r="R488" t="s">
        <v>490</v>
      </c>
      <c r="S488">
        <v>400</v>
      </c>
      <c r="T488" t="s">
        <v>563</v>
      </c>
      <c r="U488" t="s">
        <v>508</v>
      </c>
      <c r="V488" t="s">
        <v>504</v>
      </c>
      <c r="W488" t="s">
        <v>494</v>
      </c>
      <c r="X488" t="s">
        <v>494</v>
      </c>
      <c r="Y488" t="s">
        <v>536</v>
      </c>
      <c r="Z488">
        <v>3</v>
      </c>
      <c r="AA488">
        <v>3</v>
      </c>
      <c r="AE488" t="s">
        <v>42</v>
      </c>
      <c r="AF488" t="s">
        <v>496</v>
      </c>
      <c r="AG488" t="b">
        <v>0</v>
      </c>
      <c r="AH488" t="b">
        <v>0</v>
      </c>
      <c r="AI488" t="b">
        <v>0</v>
      </c>
      <c r="AK488" t="s">
        <v>497</v>
      </c>
      <c r="AL488" t="b">
        <v>0</v>
      </c>
      <c r="AM488" t="b">
        <v>0</v>
      </c>
    </row>
    <row r="489" spans="1:39">
      <c r="A489" t="s">
        <v>1241</v>
      </c>
      <c r="B489" t="b">
        <v>1</v>
      </c>
      <c r="C489">
        <v>103020</v>
      </c>
      <c r="D489" t="s">
        <v>328</v>
      </c>
      <c r="E489" t="s">
        <v>329</v>
      </c>
      <c r="F489" t="s">
        <v>488</v>
      </c>
      <c r="G489" t="s">
        <v>489</v>
      </c>
      <c r="H489" t="s">
        <v>41</v>
      </c>
      <c r="I489">
        <v>1</v>
      </c>
      <c r="J489" s="4">
        <v>43560</v>
      </c>
      <c r="K489" s="4">
        <v>43560</v>
      </c>
      <c r="L489" s="5">
        <v>0.52083333333333337</v>
      </c>
      <c r="M489" s="5">
        <v>0.58333333333333337</v>
      </c>
      <c r="N489">
        <v>55.530740000000002</v>
      </c>
      <c r="O489">
        <v>13.879630000000001</v>
      </c>
      <c r="P489">
        <v>429282</v>
      </c>
      <c r="Q489">
        <v>6154424</v>
      </c>
      <c r="R489" t="s">
        <v>490</v>
      </c>
      <c r="S489">
        <v>310</v>
      </c>
      <c r="T489" t="s">
        <v>499</v>
      </c>
      <c r="U489" t="s">
        <v>492</v>
      </c>
      <c r="V489" t="s">
        <v>493</v>
      </c>
      <c r="W489" t="s">
        <v>494</v>
      </c>
      <c r="X489" t="s">
        <v>494</v>
      </c>
      <c r="Y489" t="s">
        <v>603</v>
      </c>
      <c r="Z489">
        <v>1</v>
      </c>
      <c r="AA489">
        <v>1</v>
      </c>
      <c r="AE489" t="s">
        <v>538</v>
      </c>
      <c r="AF489" t="s">
        <v>496</v>
      </c>
      <c r="AG489" t="b">
        <v>0</v>
      </c>
      <c r="AH489" t="b">
        <v>0</v>
      </c>
      <c r="AI489" t="b">
        <v>0</v>
      </c>
      <c r="AK489" t="s">
        <v>497</v>
      </c>
      <c r="AL489" t="b">
        <v>0</v>
      </c>
      <c r="AM489" t="b">
        <v>0</v>
      </c>
    </row>
    <row r="490" spans="1:39">
      <c r="A490" t="s">
        <v>1242</v>
      </c>
      <c r="B490" t="b">
        <v>1</v>
      </c>
      <c r="C490">
        <v>100049</v>
      </c>
      <c r="D490" t="s">
        <v>295</v>
      </c>
      <c r="E490" t="s">
        <v>296</v>
      </c>
      <c r="F490" t="s">
        <v>488</v>
      </c>
      <c r="G490" t="s">
        <v>489</v>
      </c>
      <c r="H490" t="s">
        <v>46</v>
      </c>
      <c r="I490">
        <v>1</v>
      </c>
      <c r="J490" s="4">
        <v>43618</v>
      </c>
      <c r="K490" s="4">
        <v>43618</v>
      </c>
      <c r="L490" s="5">
        <v>0.66666666666666663</v>
      </c>
      <c r="M490" s="5">
        <v>0.69444444444444442</v>
      </c>
      <c r="N490">
        <v>55.556330000000003</v>
      </c>
      <c r="O490">
        <v>13.86158</v>
      </c>
      <c r="P490">
        <v>428190</v>
      </c>
      <c r="Q490">
        <v>6157290</v>
      </c>
      <c r="R490" t="s">
        <v>490</v>
      </c>
      <c r="S490">
        <v>139</v>
      </c>
      <c r="T490" t="s">
        <v>647</v>
      </c>
      <c r="U490" t="s">
        <v>532</v>
      </c>
      <c r="V490" t="s">
        <v>504</v>
      </c>
      <c r="W490" t="s">
        <v>494</v>
      </c>
      <c r="X490" t="s">
        <v>494</v>
      </c>
      <c r="Y490" t="s">
        <v>536</v>
      </c>
      <c r="Z490">
        <v>1</v>
      </c>
      <c r="AA490">
        <v>1</v>
      </c>
      <c r="AE490" t="s">
        <v>542</v>
      </c>
      <c r="AF490" t="s">
        <v>496</v>
      </c>
      <c r="AG490" t="b">
        <v>0</v>
      </c>
      <c r="AH490" t="b">
        <v>0</v>
      </c>
      <c r="AI490" t="b">
        <v>0</v>
      </c>
      <c r="AK490" t="s">
        <v>497</v>
      </c>
      <c r="AL490" t="b">
        <v>0</v>
      </c>
      <c r="AM490" t="b">
        <v>0</v>
      </c>
    </row>
    <row r="491" spans="1:39">
      <c r="A491" t="s">
        <v>1243</v>
      </c>
      <c r="B491" t="b">
        <v>1</v>
      </c>
      <c r="C491">
        <v>102977</v>
      </c>
      <c r="D491" t="s">
        <v>47</v>
      </c>
      <c r="E491" t="s">
        <v>48</v>
      </c>
      <c r="F491" t="s">
        <v>488</v>
      </c>
      <c r="G491" t="s">
        <v>489</v>
      </c>
      <c r="H491" t="s">
        <v>46</v>
      </c>
      <c r="I491">
        <v>1</v>
      </c>
      <c r="J491" s="4">
        <v>43524</v>
      </c>
      <c r="K491" s="4">
        <v>43524</v>
      </c>
      <c r="L491" s="5">
        <v>0.35069444444444442</v>
      </c>
      <c r="M491" s="5">
        <v>0.36458333333333331</v>
      </c>
      <c r="N491">
        <v>55.530740000000002</v>
      </c>
      <c r="O491">
        <v>13.879630000000001</v>
      </c>
      <c r="P491">
        <v>429282</v>
      </c>
      <c r="Q491">
        <v>6154424</v>
      </c>
      <c r="R491" t="s">
        <v>490</v>
      </c>
      <c r="S491">
        <v>310</v>
      </c>
      <c r="T491" t="s">
        <v>499</v>
      </c>
      <c r="U491" t="s">
        <v>492</v>
      </c>
      <c r="V491" t="s">
        <v>493</v>
      </c>
      <c r="W491" t="s">
        <v>494</v>
      </c>
      <c r="X491" t="s">
        <v>494</v>
      </c>
      <c r="Y491" t="s">
        <v>1244</v>
      </c>
      <c r="Z491">
        <v>1</v>
      </c>
      <c r="AA491">
        <v>1</v>
      </c>
      <c r="AE491" t="s">
        <v>42</v>
      </c>
      <c r="AF491" t="s">
        <v>496</v>
      </c>
      <c r="AG491" t="b">
        <v>0</v>
      </c>
      <c r="AH491" t="b">
        <v>0</v>
      </c>
      <c r="AI491" t="b">
        <v>0</v>
      </c>
      <c r="AK491" t="s">
        <v>497</v>
      </c>
      <c r="AL491" t="b">
        <v>0</v>
      </c>
      <c r="AM491" t="b">
        <v>0</v>
      </c>
    </row>
    <row r="492" spans="1:39">
      <c r="A492" t="s">
        <v>1245</v>
      </c>
      <c r="B492" t="b">
        <v>1</v>
      </c>
      <c r="C492">
        <v>100048</v>
      </c>
      <c r="D492" t="s">
        <v>304</v>
      </c>
      <c r="E492" t="s">
        <v>305</v>
      </c>
      <c r="F492" t="s">
        <v>488</v>
      </c>
      <c r="G492" t="s">
        <v>489</v>
      </c>
      <c r="H492" t="s">
        <v>41</v>
      </c>
      <c r="I492">
        <v>1</v>
      </c>
      <c r="J492" s="4">
        <v>43986</v>
      </c>
      <c r="K492" s="4">
        <v>43986</v>
      </c>
      <c r="L492" s="5">
        <v>0.625</v>
      </c>
      <c r="M492" s="5">
        <v>0.70833333333333337</v>
      </c>
      <c r="N492">
        <v>55.527650000000001</v>
      </c>
      <c r="O492">
        <v>13.900119999999999</v>
      </c>
      <c r="P492">
        <v>430570</v>
      </c>
      <c r="Q492">
        <v>6154060</v>
      </c>
      <c r="R492" t="s">
        <v>490</v>
      </c>
      <c r="S492">
        <v>250</v>
      </c>
      <c r="T492" t="s">
        <v>578</v>
      </c>
      <c r="U492" t="s">
        <v>525</v>
      </c>
      <c r="V492" t="s">
        <v>504</v>
      </c>
      <c r="W492" t="s">
        <v>494</v>
      </c>
      <c r="X492" t="s">
        <v>494</v>
      </c>
      <c r="Y492" t="s">
        <v>1246</v>
      </c>
      <c r="Z492">
        <v>1</v>
      </c>
      <c r="AA492">
        <v>1</v>
      </c>
      <c r="AE492" t="s">
        <v>42</v>
      </c>
      <c r="AF492" t="s">
        <v>496</v>
      </c>
      <c r="AG492" t="b">
        <v>0</v>
      </c>
      <c r="AH492" t="b">
        <v>0</v>
      </c>
      <c r="AI492" t="b">
        <v>0</v>
      </c>
      <c r="AK492" t="s">
        <v>497</v>
      </c>
      <c r="AL492" t="b">
        <v>0</v>
      </c>
      <c r="AM492" t="b">
        <v>0</v>
      </c>
    </row>
    <row r="493" spans="1:39">
      <c r="A493" t="s">
        <v>1247</v>
      </c>
      <c r="B493" t="b">
        <v>1</v>
      </c>
      <c r="C493">
        <v>103042</v>
      </c>
      <c r="D493" t="s">
        <v>398</v>
      </c>
      <c r="E493" t="s">
        <v>399</v>
      </c>
      <c r="F493" t="s">
        <v>488</v>
      </c>
      <c r="G493" t="s">
        <v>489</v>
      </c>
      <c r="H493" t="s">
        <v>85</v>
      </c>
      <c r="I493">
        <v>1</v>
      </c>
      <c r="J493" s="4">
        <v>43993</v>
      </c>
      <c r="K493" s="4">
        <v>43993</v>
      </c>
      <c r="N493">
        <v>55.54081</v>
      </c>
      <c r="O493">
        <v>13.95609</v>
      </c>
      <c r="P493">
        <v>434125</v>
      </c>
      <c r="Q493">
        <v>6155470</v>
      </c>
      <c r="R493" t="s">
        <v>490</v>
      </c>
      <c r="S493">
        <v>1500</v>
      </c>
      <c r="T493" t="s">
        <v>507</v>
      </c>
      <c r="U493" t="s">
        <v>508</v>
      </c>
      <c r="V493" t="s">
        <v>504</v>
      </c>
      <c r="W493" t="s">
        <v>494</v>
      </c>
      <c r="X493" t="s">
        <v>494</v>
      </c>
      <c r="Y493" t="s">
        <v>536</v>
      </c>
      <c r="Z493">
        <v>2</v>
      </c>
      <c r="AA493">
        <v>2</v>
      </c>
      <c r="AE493" t="s">
        <v>42</v>
      </c>
      <c r="AF493" t="s">
        <v>496</v>
      </c>
      <c r="AG493" t="b">
        <v>0</v>
      </c>
      <c r="AH493" t="b">
        <v>0</v>
      </c>
      <c r="AI493" t="b">
        <v>0</v>
      </c>
      <c r="AK493" t="s">
        <v>497</v>
      </c>
      <c r="AL493" t="b">
        <v>0</v>
      </c>
      <c r="AM493" t="b">
        <v>0</v>
      </c>
    </row>
    <row r="494" spans="1:39">
      <c r="A494" t="s">
        <v>1248</v>
      </c>
      <c r="B494" t="b">
        <v>1</v>
      </c>
      <c r="C494">
        <v>100045</v>
      </c>
      <c r="D494" t="s">
        <v>74</v>
      </c>
      <c r="E494" t="s">
        <v>75</v>
      </c>
      <c r="F494" t="s">
        <v>488</v>
      </c>
      <c r="G494" t="s">
        <v>489</v>
      </c>
      <c r="H494" t="s">
        <v>46</v>
      </c>
      <c r="I494">
        <v>1</v>
      </c>
      <c r="J494" s="4">
        <v>43926</v>
      </c>
      <c r="K494" s="4">
        <v>43926</v>
      </c>
      <c r="L494" s="5">
        <v>0.51041666666666663</v>
      </c>
      <c r="M494" s="5">
        <v>0.58333333333333337</v>
      </c>
      <c r="N494">
        <v>55.515189999999997</v>
      </c>
      <c r="O494">
        <v>13.899330000000001</v>
      </c>
      <c r="P494">
        <v>430498</v>
      </c>
      <c r="Q494">
        <v>6152673</v>
      </c>
      <c r="R494" t="s">
        <v>490</v>
      </c>
      <c r="S494">
        <v>125</v>
      </c>
      <c r="T494" t="s">
        <v>552</v>
      </c>
      <c r="U494" t="s">
        <v>525</v>
      </c>
      <c r="V494" t="s">
        <v>504</v>
      </c>
      <c r="W494" t="s">
        <v>494</v>
      </c>
      <c r="X494" t="s">
        <v>494</v>
      </c>
      <c r="Y494" t="s">
        <v>536</v>
      </c>
      <c r="Z494">
        <v>2</v>
      </c>
      <c r="AA494">
        <v>2</v>
      </c>
      <c r="AE494" t="s">
        <v>51</v>
      </c>
      <c r="AF494" t="s">
        <v>496</v>
      </c>
      <c r="AG494" t="b">
        <v>0</v>
      </c>
      <c r="AH494" t="b">
        <v>0</v>
      </c>
      <c r="AI494" t="b">
        <v>0</v>
      </c>
      <c r="AK494" t="s">
        <v>497</v>
      </c>
      <c r="AL494" t="b">
        <v>0</v>
      </c>
      <c r="AM494" t="b">
        <v>0</v>
      </c>
    </row>
    <row r="495" spans="1:39">
      <c r="A495" t="s">
        <v>1249</v>
      </c>
      <c r="B495" t="b">
        <v>1</v>
      </c>
      <c r="C495">
        <v>102952</v>
      </c>
      <c r="D495" t="s">
        <v>158</v>
      </c>
      <c r="E495" t="s">
        <v>159</v>
      </c>
      <c r="F495" t="s">
        <v>488</v>
      </c>
      <c r="G495" t="s">
        <v>489</v>
      </c>
      <c r="H495" t="s">
        <v>85</v>
      </c>
      <c r="I495">
        <v>1</v>
      </c>
      <c r="J495" s="4">
        <v>43963</v>
      </c>
      <c r="K495" s="4">
        <v>43963</v>
      </c>
      <c r="N495">
        <v>55.515189999999997</v>
      </c>
      <c r="O495">
        <v>13.899330000000001</v>
      </c>
      <c r="P495">
        <v>430498</v>
      </c>
      <c r="Q495">
        <v>6152673</v>
      </c>
      <c r="R495" t="s">
        <v>490</v>
      </c>
      <c r="S495">
        <v>125</v>
      </c>
      <c r="T495" t="s">
        <v>552</v>
      </c>
      <c r="U495" t="s">
        <v>525</v>
      </c>
      <c r="V495" t="s">
        <v>504</v>
      </c>
      <c r="W495" t="s">
        <v>494</v>
      </c>
      <c r="X495" t="s">
        <v>494</v>
      </c>
      <c r="Y495" t="s">
        <v>536</v>
      </c>
      <c r="Z495">
        <v>1</v>
      </c>
      <c r="AA495">
        <v>1</v>
      </c>
      <c r="AE495" t="s">
        <v>429</v>
      </c>
      <c r="AF495" t="s">
        <v>496</v>
      </c>
      <c r="AG495" t="b">
        <v>0</v>
      </c>
      <c r="AH495" t="b">
        <v>0</v>
      </c>
      <c r="AI495" t="b">
        <v>0</v>
      </c>
      <c r="AK495" t="s">
        <v>497</v>
      </c>
      <c r="AL495" t="b">
        <v>0</v>
      </c>
      <c r="AM495" t="b">
        <v>0</v>
      </c>
    </row>
    <row r="496" spans="1:39">
      <c r="A496" t="s">
        <v>1250</v>
      </c>
      <c r="B496" t="b">
        <v>1</v>
      </c>
      <c r="C496">
        <v>102952</v>
      </c>
      <c r="D496" t="s">
        <v>158</v>
      </c>
      <c r="E496" t="s">
        <v>159</v>
      </c>
      <c r="F496" t="s">
        <v>488</v>
      </c>
      <c r="G496" t="s">
        <v>489</v>
      </c>
      <c r="H496" t="s">
        <v>85</v>
      </c>
      <c r="I496">
        <v>1</v>
      </c>
      <c r="J496" s="4">
        <v>43972</v>
      </c>
      <c r="K496" s="4">
        <v>43972</v>
      </c>
      <c r="L496" s="5">
        <v>0.77083333333333337</v>
      </c>
      <c r="M496" s="5">
        <v>0.8125</v>
      </c>
      <c r="N496">
        <v>55.530740000000002</v>
      </c>
      <c r="O496">
        <v>13.879630000000001</v>
      </c>
      <c r="P496">
        <v>429282</v>
      </c>
      <c r="Q496">
        <v>6154424</v>
      </c>
      <c r="R496" t="s">
        <v>490</v>
      </c>
      <c r="S496">
        <v>310</v>
      </c>
      <c r="T496" t="s">
        <v>499</v>
      </c>
      <c r="U496" t="s">
        <v>492</v>
      </c>
      <c r="V496" t="s">
        <v>493</v>
      </c>
      <c r="W496" t="s">
        <v>494</v>
      </c>
      <c r="X496" t="s">
        <v>494</v>
      </c>
      <c r="Y496" t="s">
        <v>565</v>
      </c>
      <c r="Z496">
        <v>4</v>
      </c>
      <c r="AA496">
        <v>4</v>
      </c>
      <c r="AE496" t="s">
        <v>538</v>
      </c>
      <c r="AF496" t="s">
        <v>496</v>
      </c>
      <c r="AG496" t="b">
        <v>0</v>
      </c>
      <c r="AH496" t="b">
        <v>0</v>
      </c>
      <c r="AI496" t="b">
        <v>0</v>
      </c>
      <c r="AK496" t="s">
        <v>497</v>
      </c>
      <c r="AL496" t="b">
        <v>0</v>
      </c>
      <c r="AM496" t="b">
        <v>0</v>
      </c>
    </row>
    <row r="497" spans="1:39">
      <c r="A497" t="s">
        <v>1251</v>
      </c>
      <c r="B497" t="b">
        <v>1</v>
      </c>
      <c r="C497">
        <v>102990</v>
      </c>
      <c r="D497" t="s">
        <v>39</v>
      </c>
      <c r="E497" t="s">
        <v>40</v>
      </c>
      <c r="F497" t="s">
        <v>488</v>
      </c>
      <c r="G497" t="s">
        <v>489</v>
      </c>
      <c r="H497" t="s">
        <v>41</v>
      </c>
      <c r="I497">
        <v>1</v>
      </c>
      <c r="J497" s="4">
        <v>43625</v>
      </c>
      <c r="K497" s="4">
        <v>43625</v>
      </c>
      <c r="N497">
        <v>55.530740000000002</v>
      </c>
      <c r="O497">
        <v>13.879630000000001</v>
      </c>
      <c r="P497">
        <v>429282</v>
      </c>
      <c r="Q497">
        <v>6154424</v>
      </c>
      <c r="R497" t="s">
        <v>490</v>
      </c>
      <c r="S497">
        <v>310</v>
      </c>
      <c r="T497" t="s">
        <v>499</v>
      </c>
      <c r="U497" t="s">
        <v>492</v>
      </c>
      <c r="V497" t="s">
        <v>493</v>
      </c>
      <c r="W497" t="s">
        <v>494</v>
      </c>
      <c r="X497" t="s">
        <v>494</v>
      </c>
      <c r="Y497" t="s">
        <v>1252</v>
      </c>
      <c r="Z497">
        <v>1</v>
      </c>
      <c r="AA497">
        <v>1</v>
      </c>
      <c r="AE497" t="s">
        <v>42</v>
      </c>
      <c r="AF497" t="s">
        <v>496</v>
      </c>
      <c r="AG497" t="b">
        <v>0</v>
      </c>
      <c r="AH497" t="b">
        <v>0</v>
      </c>
      <c r="AI497" t="b">
        <v>0</v>
      </c>
      <c r="AK497" t="s">
        <v>497</v>
      </c>
      <c r="AL497" t="b">
        <v>0</v>
      </c>
      <c r="AM497" t="b">
        <v>0</v>
      </c>
    </row>
    <row r="498" spans="1:39">
      <c r="A498" t="s">
        <v>1253</v>
      </c>
      <c r="B498" t="b">
        <v>1</v>
      </c>
      <c r="C498">
        <v>103055</v>
      </c>
      <c r="D498" t="s">
        <v>413</v>
      </c>
      <c r="E498" t="s">
        <v>414</v>
      </c>
      <c r="F498" t="s">
        <v>488</v>
      </c>
      <c r="G498" t="s">
        <v>489</v>
      </c>
      <c r="H498" t="s">
        <v>41</v>
      </c>
      <c r="I498">
        <v>1</v>
      </c>
      <c r="J498" s="4">
        <v>43599</v>
      </c>
      <c r="K498" s="4">
        <v>43599</v>
      </c>
      <c r="L498" s="5">
        <v>0.41666666666666669</v>
      </c>
      <c r="M498" s="5">
        <v>0.4861111111111111</v>
      </c>
      <c r="N498">
        <v>55.527419999999999</v>
      </c>
      <c r="O498">
        <v>13.90283</v>
      </c>
      <c r="P498">
        <v>430741</v>
      </c>
      <c r="Q498">
        <v>6154031</v>
      </c>
      <c r="R498" t="s">
        <v>490</v>
      </c>
      <c r="S498">
        <v>400</v>
      </c>
      <c r="T498" t="s">
        <v>673</v>
      </c>
      <c r="U498" t="s">
        <v>525</v>
      </c>
      <c r="V498" t="s">
        <v>504</v>
      </c>
      <c r="W498" t="s">
        <v>494</v>
      </c>
      <c r="X498" t="s">
        <v>494</v>
      </c>
      <c r="Y498" t="s">
        <v>536</v>
      </c>
      <c r="Z498">
        <v>1</v>
      </c>
      <c r="AA498">
        <v>1</v>
      </c>
      <c r="AE498" t="s">
        <v>42</v>
      </c>
      <c r="AF498" t="s">
        <v>496</v>
      </c>
      <c r="AG498" t="b">
        <v>0</v>
      </c>
      <c r="AH498" t="b">
        <v>0</v>
      </c>
      <c r="AI498" t="b">
        <v>0</v>
      </c>
      <c r="AK498" t="s">
        <v>497</v>
      </c>
      <c r="AL498" t="b">
        <v>0</v>
      </c>
      <c r="AM498" t="b">
        <v>0</v>
      </c>
    </row>
    <row r="499" spans="1:39">
      <c r="A499" t="s">
        <v>1254</v>
      </c>
      <c r="B499" t="b">
        <v>1</v>
      </c>
      <c r="C499">
        <v>100043</v>
      </c>
      <c r="D499" t="s">
        <v>124</v>
      </c>
      <c r="E499" t="s">
        <v>125</v>
      </c>
      <c r="F499" t="s">
        <v>488</v>
      </c>
      <c r="G499" t="s">
        <v>489</v>
      </c>
      <c r="H499" t="s">
        <v>46</v>
      </c>
      <c r="I499">
        <v>1</v>
      </c>
      <c r="J499" s="4">
        <v>43625</v>
      </c>
      <c r="K499" s="4">
        <v>43625</v>
      </c>
      <c r="L499" s="5">
        <v>0.27083333333333331</v>
      </c>
      <c r="M499" s="5">
        <v>0.35416666666666669</v>
      </c>
      <c r="N499">
        <v>55.547759999999997</v>
      </c>
      <c r="O499">
        <v>13.86754</v>
      </c>
      <c r="P499">
        <v>428550</v>
      </c>
      <c r="Q499">
        <v>6156331</v>
      </c>
      <c r="R499" t="s">
        <v>490</v>
      </c>
      <c r="S499">
        <v>627</v>
      </c>
      <c r="T499" t="s">
        <v>541</v>
      </c>
      <c r="U499" t="s">
        <v>525</v>
      </c>
      <c r="V499" t="s">
        <v>504</v>
      </c>
      <c r="W499" t="s">
        <v>494</v>
      </c>
      <c r="X499" t="s">
        <v>494</v>
      </c>
      <c r="Y499" t="s">
        <v>1255</v>
      </c>
      <c r="Z499">
        <v>1</v>
      </c>
      <c r="AA499">
        <v>1</v>
      </c>
      <c r="AE499" t="s">
        <v>42</v>
      </c>
      <c r="AF499" t="s">
        <v>601</v>
      </c>
      <c r="AG499" t="b">
        <v>0</v>
      </c>
      <c r="AH499" t="b">
        <v>0</v>
      </c>
      <c r="AI499" t="b">
        <v>0</v>
      </c>
      <c r="AK499" t="s">
        <v>497</v>
      </c>
      <c r="AL499" t="b">
        <v>0</v>
      </c>
      <c r="AM499" t="b">
        <v>0</v>
      </c>
    </row>
    <row r="500" spans="1:39">
      <c r="A500" t="s">
        <v>1256</v>
      </c>
      <c r="B500" t="b">
        <v>1</v>
      </c>
      <c r="C500">
        <v>100065</v>
      </c>
      <c r="D500" t="s">
        <v>138</v>
      </c>
      <c r="E500" t="s">
        <v>139</v>
      </c>
      <c r="F500" t="s">
        <v>488</v>
      </c>
      <c r="G500" t="s">
        <v>489</v>
      </c>
      <c r="H500" t="s">
        <v>46</v>
      </c>
      <c r="I500">
        <v>1</v>
      </c>
      <c r="J500" s="4">
        <v>44734</v>
      </c>
      <c r="K500" s="4">
        <v>44734</v>
      </c>
      <c r="L500" s="5">
        <v>0.41666666666666669</v>
      </c>
      <c r="M500" s="5">
        <v>0.47569444444444442</v>
      </c>
      <c r="N500">
        <v>55.515189999999997</v>
      </c>
      <c r="O500">
        <v>13.899330000000001</v>
      </c>
      <c r="P500">
        <v>430498</v>
      </c>
      <c r="Q500">
        <v>6152673</v>
      </c>
      <c r="R500" t="s">
        <v>490</v>
      </c>
      <c r="S500">
        <v>125</v>
      </c>
      <c r="T500" t="s">
        <v>552</v>
      </c>
      <c r="U500" t="s">
        <v>525</v>
      </c>
      <c r="V500" t="s">
        <v>504</v>
      </c>
      <c r="W500" t="s">
        <v>494</v>
      </c>
      <c r="X500" t="s">
        <v>494</v>
      </c>
      <c r="Y500" t="s">
        <v>536</v>
      </c>
      <c r="Z500">
        <v>2</v>
      </c>
      <c r="AA500">
        <v>2</v>
      </c>
      <c r="AE500" t="s">
        <v>538</v>
      </c>
      <c r="AF500" t="s">
        <v>496</v>
      </c>
      <c r="AG500" t="b">
        <v>0</v>
      </c>
      <c r="AH500" t="b">
        <v>0</v>
      </c>
      <c r="AI500" t="b">
        <v>0</v>
      </c>
      <c r="AK500" t="s">
        <v>497</v>
      </c>
      <c r="AL500" t="b">
        <v>0</v>
      </c>
      <c r="AM500" t="b">
        <v>0</v>
      </c>
    </row>
    <row r="501" spans="1:39">
      <c r="A501" t="s">
        <v>1257</v>
      </c>
      <c r="B501" t="b">
        <v>1</v>
      </c>
      <c r="C501">
        <v>103042</v>
      </c>
      <c r="D501" t="s">
        <v>398</v>
      </c>
      <c r="E501" t="s">
        <v>399</v>
      </c>
      <c r="F501" t="s">
        <v>488</v>
      </c>
      <c r="G501" t="s">
        <v>489</v>
      </c>
      <c r="H501" t="s">
        <v>85</v>
      </c>
      <c r="I501">
        <v>1</v>
      </c>
      <c r="J501" s="4">
        <v>44738</v>
      </c>
      <c r="K501" s="4">
        <v>44738</v>
      </c>
      <c r="N501">
        <v>55.54081</v>
      </c>
      <c r="O501">
        <v>13.95609</v>
      </c>
      <c r="P501">
        <v>434125</v>
      </c>
      <c r="Q501">
        <v>6155470</v>
      </c>
      <c r="R501" t="s">
        <v>490</v>
      </c>
      <c r="S501">
        <v>1500</v>
      </c>
      <c r="T501" t="s">
        <v>507</v>
      </c>
      <c r="U501" t="s">
        <v>508</v>
      </c>
      <c r="V501" t="s">
        <v>504</v>
      </c>
      <c r="W501" t="s">
        <v>494</v>
      </c>
      <c r="X501" t="s">
        <v>494</v>
      </c>
      <c r="Y501" t="s">
        <v>775</v>
      </c>
      <c r="Z501">
        <v>1</v>
      </c>
      <c r="AA501">
        <v>1</v>
      </c>
      <c r="AE501" t="s">
        <v>42</v>
      </c>
      <c r="AF501" t="s">
        <v>496</v>
      </c>
      <c r="AG501" t="b">
        <v>0</v>
      </c>
      <c r="AH501" t="b">
        <v>0</v>
      </c>
      <c r="AI501" t="b">
        <v>0</v>
      </c>
      <c r="AK501" t="s">
        <v>497</v>
      </c>
      <c r="AL501" t="b">
        <v>0</v>
      </c>
      <c r="AM501" t="b">
        <v>0</v>
      </c>
    </row>
    <row r="502" spans="1:39">
      <c r="A502" t="s">
        <v>1258</v>
      </c>
      <c r="B502" t="b">
        <v>1</v>
      </c>
      <c r="C502">
        <v>103055</v>
      </c>
      <c r="D502" t="s">
        <v>413</v>
      </c>
      <c r="E502" t="s">
        <v>414</v>
      </c>
      <c r="F502" t="s">
        <v>488</v>
      </c>
      <c r="G502" t="s">
        <v>489</v>
      </c>
      <c r="H502" t="s">
        <v>41</v>
      </c>
      <c r="I502">
        <v>1</v>
      </c>
      <c r="J502" s="4">
        <v>44739</v>
      </c>
      <c r="K502" s="4">
        <v>44739</v>
      </c>
      <c r="N502">
        <v>55.54081</v>
      </c>
      <c r="O502">
        <v>13.95609</v>
      </c>
      <c r="P502">
        <v>434125</v>
      </c>
      <c r="Q502">
        <v>6155470</v>
      </c>
      <c r="R502" t="s">
        <v>490</v>
      </c>
      <c r="S502">
        <v>1500</v>
      </c>
      <c r="T502" t="s">
        <v>507</v>
      </c>
      <c r="U502" t="s">
        <v>508</v>
      </c>
      <c r="V502" t="s">
        <v>504</v>
      </c>
      <c r="W502" t="s">
        <v>494</v>
      </c>
      <c r="X502" t="s">
        <v>494</v>
      </c>
      <c r="Y502" t="s">
        <v>775</v>
      </c>
      <c r="Z502">
        <v>2</v>
      </c>
      <c r="AA502">
        <v>2</v>
      </c>
      <c r="AE502" t="s">
        <v>42</v>
      </c>
      <c r="AF502" t="s">
        <v>496</v>
      </c>
      <c r="AG502" t="b">
        <v>0</v>
      </c>
      <c r="AH502" t="b">
        <v>0</v>
      </c>
      <c r="AI502" t="b">
        <v>0</v>
      </c>
      <c r="AK502" t="s">
        <v>497</v>
      </c>
      <c r="AL502" t="b">
        <v>0</v>
      </c>
      <c r="AM502" t="b">
        <v>0</v>
      </c>
    </row>
    <row r="503" spans="1:39">
      <c r="A503" t="s">
        <v>1259</v>
      </c>
      <c r="B503" t="b">
        <v>1</v>
      </c>
      <c r="C503">
        <v>100048</v>
      </c>
      <c r="D503" t="s">
        <v>304</v>
      </c>
      <c r="E503" t="s">
        <v>305</v>
      </c>
      <c r="F503" t="s">
        <v>488</v>
      </c>
      <c r="G503" t="s">
        <v>489</v>
      </c>
      <c r="H503" t="s">
        <v>41</v>
      </c>
      <c r="I503">
        <v>1</v>
      </c>
      <c r="J503" s="4">
        <v>44993</v>
      </c>
      <c r="K503" s="4">
        <v>44993</v>
      </c>
      <c r="L503" s="5">
        <v>0.39583333333333331</v>
      </c>
      <c r="M503" s="5">
        <v>0.43055555555555558</v>
      </c>
      <c r="N503">
        <v>55.530740000000002</v>
      </c>
      <c r="O503">
        <v>13.879630000000001</v>
      </c>
      <c r="P503">
        <v>429282</v>
      </c>
      <c r="Q503">
        <v>6154424</v>
      </c>
      <c r="R503" t="s">
        <v>490</v>
      </c>
      <c r="S503">
        <v>310</v>
      </c>
      <c r="T503" t="s">
        <v>499</v>
      </c>
      <c r="U503" t="s">
        <v>492</v>
      </c>
      <c r="V503" t="s">
        <v>493</v>
      </c>
      <c r="W503" t="s">
        <v>494</v>
      </c>
      <c r="X503" t="s">
        <v>494</v>
      </c>
      <c r="Y503" t="s">
        <v>572</v>
      </c>
      <c r="Z503">
        <v>1</v>
      </c>
      <c r="AA503">
        <v>1</v>
      </c>
      <c r="AE503" t="s">
        <v>42</v>
      </c>
      <c r="AF503" t="s">
        <v>496</v>
      </c>
      <c r="AG503" t="b">
        <v>0</v>
      </c>
      <c r="AH503" t="b">
        <v>0</v>
      </c>
      <c r="AI503" t="b">
        <v>0</v>
      </c>
      <c r="AK503" t="s">
        <v>497</v>
      </c>
      <c r="AL503" t="b">
        <v>0</v>
      </c>
      <c r="AM503" t="b">
        <v>0</v>
      </c>
    </row>
    <row r="504" spans="1:39">
      <c r="A504" t="s">
        <v>1260</v>
      </c>
      <c r="B504" t="b">
        <v>1</v>
      </c>
      <c r="C504">
        <v>100049</v>
      </c>
      <c r="D504" t="s">
        <v>295</v>
      </c>
      <c r="E504" t="s">
        <v>296</v>
      </c>
      <c r="F504" t="s">
        <v>488</v>
      </c>
      <c r="G504" t="s">
        <v>489</v>
      </c>
      <c r="H504" t="s">
        <v>46</v>
      </c>
      <c r="I504">
        <v>1</v>
      </c>
      <c r="J504" s="4">
        <v>44617</v>
      </c>
      <c r="K504" s="4">
        <v>44617</v>
      </c>
      <c r="L504" s="5">
        <v>0.43055555555555558</v>
      </c>
      <c r="M504" s="5">
        <v>0.44097222222222221</v>
      </c>
      <c r="N504">
        <v>55.521590000000003</v>
      </c>
      <c r="O504">
        <v>13.894130000000001</v>
      </c>
      <c r="P504">
        <v>430181</v>
      </c>
      <c r="Q504">
        <v>6153391</v>
      </c>
      <c r="R504" t="s">
        <v>490</v>
      </c>
      <c r="S504">
        <v>500</v>
      </c>
      <c r="T504" t="s">
        <v>623</v>
      </c>
      <c r="U504" t="s">
        <v>516</v>
      </c>
      <c r="V504" t="s">
        <v>493</v>
      </c>
      <c r="W504" t="s">
        <v>494</v>
      </c>
      <c r="X504" t="s">
        <v>494</v>
      </c>
      <c r="Y504" t="s">
        <v>1105</v>
      </c>
      <c r="Z504">
        <v>1</v>
      </c>
      <c r="AA504">
        <v>1</v>
      </c>
      <c r="AE504" t="s">
        <v>42</v>
      </c>
      <c r="AF504" t="s">
        <v>496</v>
      </c>
      <c r="AG504" t="b">
        <v>0</v>
      </c>
      <c r="AH504" t="b">
        <v>0</v>
      </c>
      <c r="AI504" t="b">
        <v>0</v>
      </c>
      <c r="AK504" t="s">
        <v>497</v>
      </c>
      <c r="AL504" t="b">
        <v>0</v>
      </c>
      <c r="AM504" t="b">
        <v>0</v>
      </c>
    </row>
    <row r="505" spans="1:39">
      <c r="A505" t="s">
        <v>1261</v>
      </c>
      <c r="B505" t="b">
        <v>1</v>
      </c>
      <c r="C505">
        <v>103020</v>
      </c>
      <c r="D505" t="s">
        <v>328</v>
      </c>
      <c r="E505" t="s">
        <v>329</v>
      </c>
      <c r="F505" t="s">
        <v>488</v>
      </c>
      <c r="G505" t="s">
        <v>489</v>
      </c>
      <c r="H505" t="s">
        <v>41</v>
      </c>
      <c r="I505">
        <v>1</v>
      </c>
      <c r="J505" s="4">
        <v>45385</v>
      </c>
      <c r="K505" s="4">
        <v>45385</v>
      </c>
      <c r="L505" s="5">
        <v>0.41666666666666669</v>
      </c>
      <c r="M505" s="5">
        <v>0.52083333333333337</v>
      </c>
      <c r="N505">
        <v>55.547759999999997</v>
      </c>
      <c r="O505">
        <v>13.86754</v>
      </c>
      <c r="P505">
        <v>428550</v>
      </c>
      <c r="Q505">
        <v>6156331</v>
      </c>
      <c r="R505" t="s">
        <v>490</v>
      </c>
      <c r="S505">
        <v>627</v>
      </c>
      <c r="T505" t="s">
        <v>541</v>
      </c>
      <c r="U505" t="s">
        <v>525</v>
      </c>
      <c r="V505" t="s">
        <v>504</v>
      </c>
      <c r="W505" t="s">
        <v>494</v>
      </c>
      <c r="X505" t="s">
        <v>494</v>
      </c>
      <c r="Y505" t="s">
        <v>1262</v>
      </c>
      <c r="Z505">
        <v>1</v>
      </c>
      <c r="AA505">
        <v>1</v>
      </c>
      <c r="AE505" t="s">
        <v>42</v>
      </c>
      <c r="AF505" t="s">
        <v>496</v>
      </c>
      <c r="AG505" t="b">
        <v>0</v>
      </c>
      <c r="AH505" t="b">
        <v>0</v>
      </c>
      <c r="AI505" t="b">
        <v>0</v>
      </c>
      <c r="AK505" t="s">
        <v>497</v>
      </c>
      <c r="AL505" t="b">
        <v>0</v>
      </c>
      <c r="AM505" t="b">
        <v>0</v>
      </c>
    </row>
    <row r="506" spans="1:39">
      <c r="A506" t="s">
        <v>1263</v>
      </c>
      <c r="B506" t="b">
        <v>1</v>
      </c>
      <c r="C506">
        <v>102990</v>
      </c>
      <c r="D506" t="s">
        <v>39</v>
      </c>
      <c r="E506" t="s">
        <v>40</v>
      </c>
      <c r="F506" t="s">
        <v>488</v>
      </c>
      <c r="G506" t="s">
        <v>489</v>
      </c>
      <c r="H506" t="s">
        <v>41</v>
      </c>
      <c r="I506">
        <v>1</v>
      </c>
      <c r="J506" s="4">
        <v>45413</v>
      </c>
      <c r="K506" s="4">
        <v>45413</v>
      </c>
      <c r="L506" s="5">
        <v>0.6430555555555556</v>
      </c>
      <c r="M506" s="5">
        <v>0.6430555555555556</v>
      </c>
      <c r="N506">
        <v>55.555990000000001</v>
      </c>
      <c r="O506">
        <v>13.8973</v>
      </c>
      <c r="P506">
        <v>430442</v>
      </c>
      <c r="Q506">
        <v>6157216</v>
      </c>
      <c r="R506" t="s">
        <v>490</v>
      </c>
      <c r="S506">
        <v>400</v>
      </c>
      <c r="T506" t="s">
        <v>575</v>
      </c>
      <c r="U506" t="s">
        <v>532</v>
      </c>
      <c r="V506" t="s">
        <v>504</v>
      </c>
      <c r="W506" t="s">
        <v>494</v>
      </c>
      <c r="X506" t="s">
        <v>494</v>
      </c>
      <c r="Y506" t="s">
        <v>724</v>
      </c>
      <c r="Z506">
        <v>1</v>
      </c>
      <c r="AA506">
        <v>1</v>
      </c>
      <c r="AE506" t="s">
        <v>42</v>
      </c>
      <c r="AF506" t="s">
        <v>496</v>
      </c>
      <c r="AG506" t="b">
        <v>0</v>
      </c>
      <c r="AH506" t="b">
        <v>0</v>
      </c>
      <c r="AI506" t="b">
        <v>0</v>
      </c>
      <c r="AK506" t="s">
        <v>497</v>
      </c>
      <c r="AL506" t="b">
        <v>0</v>
      </c>
      <c r="AM506" t="b">
        <v>0</v>
      </c>
    </row>
    <row r="507" spans="1:39">
      <c r="A507" t="s">
        <v>1264</v>
      </c>
      <c r="B507" t="b">
        <v>1</v>
      </c>
      <c r="C507">
        <v>103036</v>
      </c>
      <c r="D507" t="s">
        <v>324</v>
      </c>
      <c r="E507" t="s">
        <v>325</v>
      </c>
      <c r="F507" t="s">
        <v>488</v>
      </c>
      <c r="G507" t="s">
        <v>489</v>
      </c>
      <c r="H507" t="s">
        <v>46</v>
      </c>
      <c r="I507">
        <v>1</v>
      </c>
      <c r="J507" s="4">
        <v>45349</v>
      </c>
      <c r="K507" s="4">
        <v>45349</v>
      </c>
      <c r="L507" s="5">
        <v>0.375</v>
      </c>
      <c r="M507" s="5">
        <v>0.375</v>
      </c>
      <c r="N507">
        <v>55.536490000000001</v>
      </c>
      <c r="O507">
        <v>13.87791</v>
      </c>
      <c r="P507">
        <v>429184</v>
      </c>
      <c r="Q507">
        <v>6155065</v>
      </c>
      <c r="R507" t="s">
        <v>490</v>
      </c>
      <c r="S507">
        <v>100</v>
      </c>
      <c r="T507" t="s">
        <v>1265</v>
      </c>
      <c r="U507" t="s">
        <v>525</v>
      </c>
      <c r="V507" t="s">
        <v>504</v>
      </c>
      <c r="W507" t="s">
        <v>494</v>
      </c>
      <c r="X507" t="s">
        <v>494</v>
      </c>
      <c r="Y507" t="s">
        <v>1266</v>
      </c>
      <c r="Z507">
        <v>2</v>
      </c>
      <c r="AA507">
        <v>2</v>
      </c>
      <c r="AE507" t="s">
        <v>42</v>
      </c>
      <c r="AF507" t="s">
        <v>496</v>
      </c>
      <c r="AG507" t="b">
        <v>0</v>
      </c>
      <c r="AH507" t="b">
        <v>0</v>
      </c>
      <c r="AI507" t="b">
        <v>0</v>
      </c>
      <c r="AK507" t="s">
        <v>497</v>
      </c>
      <c r="AL507" t="b">
        <v>0</v>
      </c>
      <c r="AM507" t="b">
        <v>0</v>
      </c>
    </row>
    <row r="508" spans="1:39">
      <c r="A508" t="s">
        <v>1267</v>
      </c>
      <c r="B508" t="b">
        <v>1</v>
      </c>
      <c r="C508">
        <v>102950</v>
      </c>
      <c r="D508" t="s">
        <v>150</v>
      </c>
      <c r="E508" t="s">
        <v>151</v>
      </c>
      <c r="F508" t="s">
        <v>488</v>
      </c>
      <c r="G508" t="s">
        <v>489</v>
      </c>
      <c r="H508" t="s">
        <v>41</v>
      </c>
      <c r="I508">
        <v>1</v>
      </c>
      <c r="J508" s="4">
        <v>45444</v>
      </c>
      <c r="K508" s="4">
        <v>45444</v>
      </c>
      <c r="L508" s="5">
        <v>0.53125</v>
      </c>
      <c r="M508" s="5">
        <v>0.53125</v>
      </c>
      <c r="N508">
        <v>55.551600000000001</v>
      </c>
      <c r="O508">
        <v>13.955550000000001</v>
      </c>
      <c r="P508">
        <v>434109</v>
      </c>
      <c r="Q508">
        <v>6156670</v>
      </c>
      <c r="R508" t="s">
        <v>490</v>
      </c>
      <c r="S508">
        <v>250</v>
      </c>
      <c r="T508" t="s">
        <v>765</v>
      </c>
      <c r="U508" t="s">
        <v>508</v>
      </c>
      <c r="V508" t="s">
        <v>504</v>
      </c>
      <c r="W508" t="s">
        <v>494</v>
      </c>
      <c r="X508" t="s">
        <v>494</v>
      </c>
      <c r="Y508" t="s">
        <v>536</v>
      </c>
      <c r="Z508">
        <v>1</v>
      </c>
      <c r="AA508">
        <v>1</v>
      </c>
      <c r="AE508" t="s">
        <v>429</v>
      </c>
      <c r="AF508" t="s">
        <v>496</v>
      </c>
      <c r="AG508" t="b">
        <v>0</v>
      </c>
      <c r="AH508" t="b">
        <v>0</v>
      </c>
      <c r="AI508" t="b">
        <v>0</v>
      </c>
      <c r="AK508" t="s">
        <v>497</v>
      </c>
      <c r="AL508" t="b">
        <v>0</v>
      </c>
      <c r="AM508" t="b">
        <v>0</v>
      </c>
    </row>
    <row r="509" spans="1:39">
      <c r="A509" t="s">
        <v>1268</v>
      </c>
      <c r="B509" t="b">
        <v>1</v>
      </c>
      <c r="C509">
        <v>103055</v>
      </c>
      <c r="D509" t="s">
        <v>413</v>
      </c>
      <c r="E509" t="s">
        <v>414</v>
      </c>
      <c r="F509" t="s">
        <v>488</v>
      </c>
      <c r="G509" t="s">
        <v>489</v>
      </c>
      <c r="H509" t="s">
        <v>41</v>
      </c>
      <c r="I509">
        <v>1</v>
      </c>
      <c r="J509" s="4">
        <v>45433</v>
      </c>
      <c r="K509" s="4">
        <v>45433</v>
      </c>
      <c r="L509" s="5">
        <v>0.39583333333333331</v>
      </c>
      <c r="M509" s="5">
        <v>0.48958333333333331</v>
      </c>
      <c r="N509">
        <v>55.527650000000001</v>
      </c>
      <c r="O509">
        <v>13.900119999999999</v>
      </c>
      <c r="P509">
        <v>430570</v>
      </c>
      <c r="Q509">
        <v>6154060</v>
      </c>
      <c r="R509" t="s">
        <v>490</v>
      </c>
      <c r="S509">
        <v>250</v>
      </c>
      <c r="T509" t="s">
        <v>578</v>
      </c>
      <c r="U509" t="s">
        <v>525</v>
      </c>
      <c r="V509" t="s">
        <v>504</v>
      </c>
      <c r="W509" t="s">
        <v>494</v>
      </c>
      <c r="X509" t="s">
        <v>494</v>
      </c>
      <c r="Y509" t="s">
        <v>588</v>
      </c>
      <c r="Z509">
        <v>1</v>
      </c>
      <c r="AA509">
        <v>1</v>
      </c>
      <c r="AE509" t="s">
        <v>42</v>
      </c>
      <c r="AF509" t="s">
        <v>496</v>
      </c>
      <c r="AG509" t="b">
        <v>0</v>
      </c>
      <c r="AH509" t="b">
        <v>0</v>
      </c>
      <c r="AI509" t="b">
        <v>0</v>
      </c>
      <c r="AK509" t="s">
        <v>497</v>
      </c>
      <c r="AL509" t="b">
        <v>0</v>
      </c>
      <c r="AM509" t="b">
        <v>0</v>
      </c>
    </row>
    <row r="510" spans="1:39">
      <c r="A510" t="s">
        <v>1269</v>
      </c>
      <c r="B510" t="b">
        <v>1</v>
      </c>
      <c r="C510">
        <v>100056</v>
      </c>
      <c r="D510" t="s">
        <v>306</v>
      </c>
      <c r="E510" t="s">
        <v>307</v>
      </c>
      <c r="F510" t="s">
        <v>488</v>
      </c>
      <c r="G510" t="s">
        <v>489</v>
      </c>
      <c r="H510" t="s">
        <v>46</v>
      </c>
      <c r="I510">
        <v>1</v>
      </c>
      <c r="J510" s="4">
        <v>45469</v>
      </c>
      <c r="K510" s="4">
        <v>45469</v>
      </c>
      <c r="L510" s="5">
        <v>0.55277777777777781</v>
      </c>
      <c r="M510" s="5">
        <v>0.55277777777777781</v>
      </c>
      <c r="N510">
        <v>55.530740000000002</v>
      </c>
      <c r="O510">
        <v>13.879630000000001</v>
      </c>
      <c r="P510">
        <v>429282</v>
      </c>
      <c r="Q510">
        <v>6154424</v>
      </c>
      <c r="R510" t="s">
        <v>490</v>
      </c>
      <c r="S510">
        <v>310</v>
      </c>
      <c r="T510" t="s">
        <v>499</v>
      </c>
      <c r="U510" t="s">
        <v>492</v>
      </c>
      <c r="V510" t="s">
        <v>493</v>
      </c>
      <c r="W510" t="s">
        <v>494</v>
      </c>
      <c r="X510" t="s">
        <v>494</v>
      </c>
      <c r="Y510" t="s">
        <v>1270</v>
      </c>
      <c r="Z510">
        <v>1</v>
      </c>
      <c r="AA510">
        <v>1</v>
      </c>
      <c r="AD510" t="s">
        <v>510</v>
      </c>
      <c r="AE510" t="s">
        <v>538</v>
      </c>
      <c r="AF510" t="s">
        <v>496</v>
      </c>
      <c r="AG510" t="b">
        <v>0</v>
      </c>
      <c r="AH510" t="b">
        <v>0</v>
      </c>
      <c r="AI510" t="b">
        <v>0</v>
      </c>
      <c r="AK510" t="s">
        <v>497</v>
      </c>
      <c r="AL510" t="b">
        <v>0</v>
      </c>
      <c r="AM510" t="b">
        <v>0</v>
      </c>
    </row>
    <row r="511" spans="1:39">
      <c r="A511" t="s">
        <v>1271</v>
      </c>
      <c r="B511" t="b">
        <v>1</v>
      </c>
      <c r="C511">
        <v>103020</v>
      </c>
      <c r="D511" t="s">
        <v>328</v>
      </c>
      <c r="E511" t="s">
        <v>329</v>
      </c>
      <c r="F511" t="s">
        <v>488</v>
      </c>
      <c r="G511" t="s">
        <v>489</v>
      </c>
      <c r="H511" t="s">
        <v>41</v>
      </c>
      <c r="I511">
        <v>1</v>
      </c>
      <c r="J511" s="4">
        <v>46114</v>
      </c>
      <c r="K511" s="4">
        <v>46114</v>
      </c>
      <c r="L511" s="5">
        <v>0.52083333333333337</v>
      </c>
      <c r="M511" s="5">
        <v>0.5625</v>
      </c>
      <c r="N511">
        <v>55.538980000000002</v>
      </c>
      <c r="O511">
        <v>13.96345</v>
      </c>
      <c r="P511">
        <v>434586</v>
      </c>
      <c r="Q511">
        <v>6155259</v>
      </c>
      <c r="R511" t="s">
        <v>490</v>
      </c>
      <c r="S511">
        <v>250</v>
      </c>
      <c r="T511" t="s">
        <v>995</v>
      </c>
      <c r="U511" t="s">
        <v>947</v>
      </c>
      <c r="V511" t="s">
        <v>504</v>
      </c>
      <c r="W511" t="s">
        <v>494</v>
      </c>
      <c r="X511" t="s">
        <v>494</v>
      </c>
      <c r="Y511" t="s">
        <v>536</v>
      </c>
      <c r="Z511">
        <v>1</v>
      </c>
      <c r="AA511">
        <v>1</v>
      </c>
      <c r="AE511" t="s">
        <v>42</v>
      </c>
      <c r="AF511" t="s">
        <v>496</v>
      </c>
      <c r="AG511" t="b">
        <v>0</v>
      </c>
      <c r="AH511" t="b">
        <v>0</v>
      </c>
      <c r="AI511" t="b">
        <v>0</v>
      </c>
      <c r="AK511" t="s">
        <v>497</v>
      </c>
      <c r="AL511" t="b">
        <v>0</v>
      </c>
      <c r="AM511" t="b">
        <v>0</v>
      </c>
    </row>
    <row r="512" spans="1:39">
      <c r="A512" t="s">
        <v>1272</v>
      </c>
      <c r="B512" t="b">
        <v>1</v>
      </c>
      <c r="C512">
        <v>102993</v>
      </c>
      <c r="D512" t="s">
        <v>384</v>
      </c>
      <c r="E512" t="s">
        <v>385</v>
      </c>
      <c r="F512" t="s">
        <v>488</v>
      </c>
      <c r="G512" t="s">
        <v>489</v>
      </c>
      <c r="H512" t="s">
        <v>85</v>
      </c>
      <c r="I512">
        <v>1</v>
      </c>
      <c r="J512" s="4">
        <v>39605</v>
      </c>
      <c r="K512" s="4">
        <v>39605</v>
      </c>
      <c r="L512" s="5">
        <v>0</v>
      </c>
      <c r="M512" s="5">
        <v>0</v>
      </c>
      <c r="N512">
        <v>55.54081</v>
      </c>
      <c r="O512">
        <v>13.95609</v>
      </c>
      <c r="P512">
        <v>434125</v>
      </c>
      <c r="Q512">
        <v>6155470</v>
      </c>
      <c r="R512" t="s">
        <v>490</v>
      </c>
      <c r="S512">
        <v>1500</v>
      </c>
      <c r="T512" t="s">
        <v>507</v>
      </c>
      <c r="U512" t="s">
        <v>508</v>
      </c>
      <c r="V512" t="s">
        <v>504</v>
      </c>
      <c r="W512" t="s">
        <v>494</v>
      </c>
      <c r="X512" t="s">
        <v>494</v>
      </c>
      <c r="Y512" t="s">
        <v>1273</v>
      </c>
      <c r="Z512">
        <v>1</v>
      </c>
      <c r="AA512">
        <v>1</v>
      </c>
      <c r="AE512" t="s">
        <v>42</v>
      </c>
      <c r="AF512" t="s">
        <v>496</v>
      </c>
      <c r="AG512" t="b">
        <v>0</v>
      </c>
      <c r="AH512" t="b">
        <v>0</v>
      </c>
      <c r="AI512" t="b">
        <v>0</v>
      </c>
      <c r="AK512" t="s">
        <v>497</v>
      </c>
      <c r="AL512" t="b">
        <v>0</v>
      </c>
      <c r="AM512" t="b">
        <v>0</v>
      </c>
    </row>
    <row r="513" spans="1:39">
      <c r="A513" t="s">
        <v>1274</v>
      </c>
      <c r="B513" t="b">
        <v>1</v>
      </c>
      <c r="C513">
        <v>100094</v>
      </c>
      <c r="D513" t="s">
        <v>316</v>
      </c>
      <c r="E513" t="s">
        <v>317</v>
      </c>
      <c r="F513" t="s">
        <v>488</v>
      </c>
      <c r="G513" t="s">
        <v>489</v>
      </c>
      <c r="H513" t="s">
        <v>81</v>
      </c>
      <c r="I513">
        <v>1</v>
      </c>
      <c r="J513" s="4">
        <v>39962</v>
      </c>
      <c r="K513" s="4">
        <v>39962</v>
      </c>
      <c r="L513" s="5">
        <v>0.57638888888888884</v>
      </c>
      <c r="M513" s="5">
        <v>0.58333333333333337</v>
      </c>
      <c r="N513">
        <v>55.522089999999999</v>
      </c>
      <c r="O513">
        <v>13.95295</v>
      </c>
      <c r="P513">
        <v>433895</v>
      </c>
      <c r="Q513">
        <v>6153389</v>
      </c>
      <c r="R513" t="s">
        <v>490</v>
      </c>
      <c r="S513">
        <v>185</v>
      </c>
      <c r="T513" t="s">
        <v>1275</v>
      </c>
      <c r="U513" t="s">
        <v>503</v>
      </c>
      <c r="V513" t="s">
        <v>504</v>
      </c>
      <c r="W513" t="s">
        <v>494</v>
      </c>
      <c r="X513" t="s">
        <v>494</v>
      </c>
      <c r="Y513" t="s">
        <v>967</v>
      </c>
      <c r="Z513">
        <v>1</v>
      </c>
      <c r="AA513">
        <v>1</v>
      </c>
      <c r="AE513" t="s">
        <v>42</v>
      </c>
      <c r="AF513" t="s">
        <v>496</v>
      </c>
      <c r="AG513" t="b">
        <v>0</v>
      </c>
      <c r="AH513" t="b">
        <v>0</v>
      </c>
      <c r="AI513" t="b">
        <v>0</v>
      </c>
      <c r="AK513" t="s">
        <v>497</v>
      </c>
      <c r="AL513" t="b">
        <v>0</v>
      </c>
      <c r="AM513" t="b">
        <v>0</v>
      </c>
    </row>
    <row r="514" spans="1:39">
      <c r="A514" t="s">
        <v>1276</v>
      </c>
      <c r="B514" t="b">
        <v>1</v>
      </c>
      <c r="C514">
        <v>102623</v>
      </c>
      <c r="D514" t="s">
        <v>53</v>
      </c>
      <c r="E514" t="s">
        <v>54</v>
      </c>
      <c r="F514" t="s">
        <v>488</v>
      </c>
      <c r="G514" t="s">
        <v>489</v>
      </c>
      <c r="H514" t="s">
        <v>46</v>
      </c>
      <c r="I514">
        <v>1</v>
      </c>
      <c r="J514" s="4">
        <v>39229</v>
      </c>
      <c r="K514" s="4">
        <v>39229</v>
      </c>
      <c r="L514" s="5">
        <v>0.35416666666666669</v>
      </c>
      <c r="M514" s="5">
        <v>0.38541666666666669</v>
      </c>
      <c r="N514">
        <v>55.525739999999999</v>
      </c>
      <c r="O514">
        <v>13.93807</v>
      </c>
      <c r="P514">
        <v>432962</v>
      </c>
      <c r="Q514">
        <v>6153810</v>
      </c>
      <c r="R514" t="s">
        <v>490</v>
      </c>
      <c r="S514">
        <v>1981</v>
      </c>
      <c r="T514" t="s">
        <v>524</v>
      </c>
      <c r="U514" t="s">
        <v>525</v>
      </c>
      <c r="V514" t="s">
        <v>504</v>
      </c>
      <c r="W514" t="s">
        <v>494</v>
      </c>
      <c r="X514" t="s">
        <v>494</v>
      </c>
      <c r="Y514" t="s">
        <v>526</v>
      </c>
      <c r="Z514">
        <v>1</v>
      </c>
      <c r="AA514">
        <v>1</v>
      </c>
      <c r="AE514" t="s">
        <v>42</v>
      </c>
      <c r="AF514" t="s">
        <v>496</v>
      </c>
      <c r="AG514" t="b">
        <v>0</v>
      </c>
      <c r="AH514" t="b">
        <v>0</v>
      </c>
      <c r="AI514" t="b">
        <v>0</v>
      </c>
      <c r="AK514" t="s">
        <v>497</v>
      </c>
      <c r="AL514" t="b">
        <v>0</v>
      </c>
      <c r="AM514" t="b">
        <v>0</v>
      </c>
    </row>
    <row r="515" spans="1:39">
      <c r="A515" t="s">
        <v>1277</v>
      </c>
      <c r="B515" t="b">
        <v>1</v>
      </c>
      <c r="C515">
        <v>102952</v>
      </c>
      <c r="D515" t="s">
        <v>158</v>
      </c>
      <c r="E515" t="s">
        <v>159</v>
      </c>
      <c r="F515" t="s">
        <v>488</v>
      </c>
      <c r="G515" t="s">
        <v>489</v>
      </c>
      <c r="H515" t="s">
        <v>85</v>
      </c>
      <c r="I515">
        <v>1</v>
      </c>
      <c r="J515" s="4">
        <v>39604</v>
      </c>
      <c r="K515" s="4">
        <v>39604</v>
      </c>
      <c r="L515" s="5">
        <v>0.70833333333333337</v>
      </c>
      <c r="M515" s="5">
        <v>0.70833333333333337</v>
      </c>
      <c r="N515">
        <v>55.527650000000001</v>
      </c>
      <c r="O515">
        <v>13.900119999999999</v>
      </c>
      <c r="P515">
        <v>430570</v>
      </c>
      <c r="Q515">
        <v>6154060</v>
      </c>
      <c r="R515" t="s">
        <v>490</v>
      </c>
      <c r="S515">
        <v>250</v>
      </c>
      <c r="T515" t="s">
        <v>578</v>
      </c>
      <c r="U515" t="s">
        <v>525</v>
      </c>
      <c r="V515" t="s">
        <v>504</v>
      </c>
      <c r="W515" t="s">
        <v>494</v>
      </c>
      <c r="X515" t="s">
        <v>494</v>
      </c>
      <c r="Y515" t="s">
        <v>1278</v>
      </c>
      <c r="Z515">
        <v>5</v>
      </c>
      <c r="AA515">
        <v>5</v>
      </c>
      <c r="AE515" t="s">
        <v>538</v>
      </c>
      <c r="AF515" t="s">
        <v>496</v>
      </c>
      <c r="AG515" t="b">
        <v>0</v>
      </c>
      <c r="AH515" t="b">
        <v>0</v>
      </c>
      <c r="AI515" t="b">
        <v>0</v>
      </c>
      <c r="AK515" t="s">
        <v>497</v>
      </c>
      <c r="AL515" t="b">
        <v>0</v>
      </c>
      <c r="AM515" t="b">
        <v>0</v>
      </c>
    </row>
    <row r="516" spans="1:39">
      <c r="A516" t="s">
        <v>1279</v>
      </c>
      <c r="B516" t="b">
        <v>1</v>
      </c>
      <c r="C516">
        <v>103055</v>
      </c>
      <c r="D516" t="s">
        <v>413</v>
      </c>
      <c r="E516" t="s">
        <v>414</v>
      </c>
      <c r="F516" t="s">
        <v>488</v>
      </c>
      <c r="G516" t="s">
        <v>489</v>
      </c>
      <c r="H516" t="s">
        <v>41</v>
      </c>
      <c r="I516">
        <v>1</v>
      </c>
      <c r="J516" s="4">
        <v>39586</v>
      </c>
      <c r="K516" s="4">
        <v>39586</v>
      </c>
      <c r="L516" s="5">
        <v>0.30555555555555558</v>
      </c>
      <c r="M516" s="5">
        <v>0.30555555555555558</v>
      </c>
      <c r="N516">
        <v>55.525750000000002</v>
      </c>
      <c r="O516">
        <v>13.88649</v>
      </c>
      <c r="P516">
        <v>429706</v>
      </c>
      <c r="Q516">
        <v>6153862</v>
      </c>
      <c r="R516" t="s">
        <v>490</v>
      </c>
      <c r="S516">
        <v>311</v>
      </c>
      <c r="T516" t="s">
        <v>515</v>
      </c>
      <c r="U516" t="s">
        <v>516</v>
      </c>
      <c r="V516" t="s">
        <v>493</v>
      </c>
      <c r="W516" t="s">
        <v>494</v>
      </c>
      <c r="X516" t="s">
        <v>494</v>
      </c>
      <c r="Y516" t="s">
        <v>1280</v>
      </c>
      <c r="Z516">
        <v>1</v>
      </c>
      <c r="AA516">
        <v>1</v>
      </c>
      <c r="AE516" t="s">
        <v>42</v>
      </c>
      <c r="AF516" t="s">
        <v>496</v>
      </c>
      <c r="AG516" t="b">
        <v>0</v>
      </c>
      <c r="AH516" t="b">
        <v>0</v>
      </c>
      <c r="AI516" t="b">
        <v>0</v>
      </c>
      <c r="AK516" t="s">
        <v>497</v>
      </c>
      <c r="AL516" t="b">
        <v>0</v>
      </c>
      <c r="AM516" t="b">
        <v>0</v>
      </c>
    </row>
    <row r="517" spans="1:39">
      <c r="A517" t="s">
        <v>1281</v>
      </c>
      <c r="B517" t="b">
        <v>1</v>
      </c>
      <c r="C517">
        <v>103036</v>
      </c>
      <c r="D517" t="s">
        <v>324</v>
      </c>
      <c r="E517" t="s">
        <v>325</v>
      </c>
      <c r="F517" t="s">
        <v>488</v>
      </c>
      <c r="G517" t="s">
        <v>489</v>
      </c>
      <c r="H517" t="s">
        <v>46</v>
      </c>
      <c r="I517">
        <v>1</v>
      </c>
      <c r="J517" s="4">
        <v>41715</v>
      </c>
      <c r="K517" s="4">
        <v>41715</v>
      </c>
      <c r="L517" s="5">
        <v>0.66666666666666663</v>
      </c>
      <c r="M517" s="5">
        <v>0.72916666666666663</v>
      </c>
      <c r="N517">
        <v>55.54081</v>
      </c>
      <c r="O517">
        <v>13.95609</v>
      </c>
      <c r="P517">
        <v>434125</v>
      </c>
      <c r="Q517">
        <v>6155470</v>
      </c>
      <c r="R517" t="s">
        <v>490</v>
      </c>
      <c r="S517">
        <v>1500</v>
      </c>
      <c r="T517" t="s">
        <v>507</v>
      </c>
      <c r="U517" t="s">
        <v>508</v>
      </c>
      <c r="V517" t="s">
        <v>504</v>
      </c>
      <c r="W517" t="s">
        <v>494</v>
      </c>
      <c r="X517" t="s">
        <v>494</v>
      </c>
      <c r="Y517" t="s">
        <v>536</v>
      </c>
      <c r="Z517">
        <v>1</v>
      </c>
      <c r="AA517">
        <v>1</v>
      </c>
      <c r="AE517" t="s">
        <v>542</v>
      </c>
      <c r="AF517" t="s">
        <v>496</v>
      </c>
      <c r="AG517" t="b">
        <v>0</v>
      </c>
      <c r="AH517" t="b">
        <v>0</v>
      </c>
      <c r="AI517" t="b">
        <v>0</v>
      </c>
      <c r="AK517" t="s">
        <v>497</v>
      </c>
      <c r="AL517" t="b">
        <v>0</v>
      </c>
      <c r="AM517" t="b">
        <v>0</v>
      </c>
    </row>
    <row r="518" spans="1:39">
      <c r="A518" t="s">
        <v>1282</v>
      </c>
      <c r="B518" t="b">
        <v>1</v>
      </c>
      <c r="C518">
        <v>103037</v>
      </c>
      <c r="D518" t="s">
        <v>368</v>
      </c>
      <c r="E518" t="s">
        <v>369</v>
      </c>
      <c r="F518" t="s">
        <v>488</v>
      </c>
      <c r="G518" t="s">
        <v>489</v>
      </c>
      <c r="H518" t="s">
        <v>85</v>
      </c>
      <c r="I518">
        <v>1</v>
      </c>
      <c r="J518" s="4">
        <v>41760</v>
      </c>
      <c r="K518" s="4">
        <v>41760</v>
      </c>
      <c r="L518" s="5">
        <v>0</v>
      </c>
      <c r="M518" s="5">
        <v>0</v>
      </c>
      <c r="N518">
        <v>55.555309999999999</v>
      </c>
      <c r="O518">
        <v>13.8569</v>
      </c>
      <c r="P518">
        <v>427893</v>
      </c>
      <c r="Q518">
        <v>6157182</v>
      </c>
      <c r="R518" t="s">
        <v>490</v>
      </c>
      <c r="S518">
        <v>140</v>
      </c>
      <c r="T518" t="s">
        <v>491</v>
      </c>
      <c r="U518" t="s">
        <v>492</v>
      </c>
      <c r="V518" t="s">
        <v>493</v>
      </c>
      <c r="W518" t="s">
        <v>494</v>
      </c>
      <c r="X518" t="s">
        <v>494</v>
      </c>
      <c r="Y518" t="s">
        <v>495</v>
      </c>
      <c r="Z518">
        <v>12</v>
      </c>
      <c r="AA518">
        <v>12</v>
      </c>
      <c r="AC518" t="s">
        <v>512</v>
      </c>
      <c r="AD518" t="s">
        <v>527</v>
      </c>
      <c r="AE518" t="s">
        <v>429</v>
      </c>
      <c r="AF518" t="s">
        <v>496</v>
      </c>
      <c r="AG518" t="b">
        <v>0</v>
      </c>
      <c r="AH518" t="b">
        <v>0</v>
      </c>
      <c r="AI518" t="b">
        <v>0</v>
      </c>
      <c r="AK518" t="s">
        <v>497</v>
      </c>
      <c r="AL518" t="b">
        <v>0</v>
      </c>
      <c r="AM518" t="b">
        <v>0</v>
      </c>
    </row>
    <row r="519" spans="1:39">
      <c r="A519" t="s">
        <v>1283</v>
      </c>
      <c r="B519" t="b">
        <v>1</v>
      </c>
      <c r="C519">
        <v>102987</v>
      </c>
      <c r="D519" t="s">
        <v>388</v>
      </c>
      <c r="E519" t="s">
        <v>389</v>
      </c>
      <c r="F519" t="s">
        <v>488</v>
      </c>
      <c r="G519" t="s">
        <v>489</v>
      </c>
      <c r="H519" t="s">
        <v>41</v>
      </c>
      <c r="I519">
        <v>1</v>
      </c>
      <c r="J519" s="4">
        <v>41035</v>
      </c>
      <c r="K519" s="4">
        <v>41035</v>
      </c>
      <c r="L519" s="5">
        <v>0.25</v>
      </c>
      <c r="M519" s="5">
        <v>0.29166666666666669</v>
      </c>
      <c r="N519">
        <v>55.525739999999999</v>
      </c>
      <c r="O519">
        <v>13.93807</v>
      </c>
      <c r="P519">
        <v>432962</v>
      </c>
      <c r="Q519">
        <v>6153810</v>
      </c>
      <c r="R519" t="s">
        <v>490</v>
      </c>
      <c r="S519">
        <v>1981</v>
      </c>
      <c r="T519" t="s">
        <v>524</v>
      </c>
      <c r="U519" t="s">
        <v>525</v>
      </c>
      <c r="V519" t="s">
        <v>504</v>
      </c>
      <c r="W519" t="s">
        <v>494</v>
      </c>
      <c r="X519" t="s">
        <v>494</v>
      </c>
      <c r="Y519" t="s">
        <v>581</v>
      </c>
      <c r="Z519">
        <v>1</v>
      </c>
      <c r="AA519">
        <v>1</v>
      </c>
      <c r="AE519" t="s">
        <v>538</v>
      </c>
      <c r="AF519" t="s">
        <v>496</v>
      </c>
      <c r="AG519" t="b">
        <v>0</v>
      </c>
      <c r="AH519" t="b">
        <v>0</v>
      </c>
      <c r="AI519" t="b">
        <v>0</v>
      </c>
      <c r="AK519" t="s">
        <v>497</v>
      </c>
      <c r="AL519" t="b">
        <v>0</v>
      </c>
      <c r="AM519" t="b">
        <v>0</v>
      </c>
    </row>
    <row r="520" spans="1:39">
      <c r="A520" t="s">
        <v>1284</v>
      </c>
      <c r="B520" t="b">
        <v>1</v>
      </c>
      <c r="C520">
        <v>100049</v>
      </c>
      <c r="D520" t="s">
        <v>295</v>
      </c>
      <c r="E520" t="s">
        <v>296</v>
      </c>
      <c r="F520" t="s">
        <v>488</v>
      </c>
      <c r="G520" t="s">
        <v>489</v>
      </c>
      <c r="H520" t="s">
        <v>46</v>
      </c>
      <c r="I520">
        <v>1</v>
      </c>
      <c r="J520" s="4">
        <v>41198</v>
      </c>
      <c r="K520" s="4">
        <v>41198</v>
      </c>
      <c r="L520" s="5">
        <v>0.54166666666666663</v>
      </c>
      <c r="M520" s="5">
        <v>0.55208333333333337</v>
      </c>
      <c r="N520">
        <v>55.525750000000002</v>
      </c>
      <c r="O520">
        <v>13.88649</v>
      </c>
      <c r="P520">
        <v>429706</v>
      </c>
      <c r="Q520">
        <v>6153862</v>
      </c>
      <c r="R520" t="s">
        <v>490</v>
      </c>
      <c r="S520">
        <v>311</v>
      </c>
      <c r="T520" t="s">
        <v>515</v>
      </c>
      <c r="U520" t="s">
        <v>516</v>
      </c>
      <c r="V520" t="s">
        <v>493</v>
      </c>
      <c r="W520" t="s">
        <v>494</v>
      </c>
      <c r="X520" t="s">
        <v>494</v>
      </c>
      <c r="Y520" t="s">
        <v>1285</v>
      </c>
      <c r="Z520">
        <v>1</v>
      </c>
      <c r="AA520">
        <v>1</v>
      </c>
      <c r="AE520" t="s">
        <v>42</v>
      </c>
      <c r="AF520" t="s">
        <v>496</v>
      </c>
      <c r="AG520" t="b">
        <v>0</v>
      </c>
      <c r="AH520" t="b">
        <v>0</v>
      </c>
      <c r="AI520" t="b">
        <v>0</v>
      </c>
      <c r="AK520" t="s">
        <v>497</v>
      </c>
      <c r="AL520" t="b">
        <v>0</v>
      </c>
      <c r="AM520" t="b">
        <v>0</v>
      </c>
    </row>
    <row r="521" spans="1:39">
      <c r="A521" t="s">
        <v>1286</v>
      </c>
      <c r="B521" t="b">
        <v>1</v>
      </c>
      <c r="C521">
        <v>103042</v>
      </c>
      <c r="D521" t="s">
        <v>398</v>
      </c>
      <c r="E521" t="s">
        <v>399</v>
      </c>
      <c r="F521" t="s">
        <v>488</v>
      </c>
      <c r="G521" t="s">
        <v>489</v>
      </c>
      <c r="H521" t="s">
        <v>85</v>
      </c>
      <c r="I521">
        <v>1</v>
      </c>
      <c r="J521" s="4">
        <v>42832</v>
      </c>
      <c r="K521" s="4">
        <v>42832</v>
      </c>
      <c r="N521">
        <v>55.556330000000003</v>
      </c>
      <c r="O521">
        <v>13.86158</v>
      </c>
      <c r="P521">
        <v>428190</v>
      </c>
      <c r="Q521">
        <v>6157290</v>
      </c>
      <c r="R521" t="s">
        <v>490</v>
      </c>
      <c r="S521">
        <v>139</v>
      </c>
      <c r="T521" t="s">
        <v>647</v>
      </c>
      <c r="U521" t="s">
        <v>532</v>
      </c>
      <c r="V521" t="s">
        <v>504</v>
      </c>
      <c r="W521" t="s">
        <v>494</v>
      </c>
      <c r="X521" t="s">
        <v>494</v>
      </c>
      <c r="Y521" t="s">
        <v>536</v>
      </c>
      <c r="AE521" t="s">
        <v>42</v>
      </c>
      <c r="AF521" t="s">
        <v>496</v>
      </c>
      <c r="AG521" t="b">
        <v>0</v>
      </c>
      <c r="AH521" t="b">
        <v>0</v>
      </c>
      <c r="AI521" t="b">
        <v>0</v>
      </c>
      <c r="AK521" t="s">
        <v>497</v>
      </c>
      <c r="AL521" t="b">
        <v>0</v>
      </c>
      <c r="AM521" t="b">
        <v>0</v>
      </c>
    </row>
    <row r="522" spans="1:39">
      <c r="A522" t="s">
        <v>1287</v>
      </c>
      <c r="B522" t="b">
        <v>1</v>
      </c>
      <c r="C522">
        <v>103055</v>
      </c>
      <c r="D522" t="s">
        <v>413</v>
      </c>
      <c r="E522" t="s">
        <v>414</v>
      </c>
      <c r="F522" t="s">
        <v>488</v>
      </c>
      <c r="G522" t="s">
        <v>489</v>
      </c>
      <c r="H522" t="s">
        <v>41</v>
      </c>
      <c r="I522">
        <v>1</v>
      </c>
      <c r="J522" s="4">
        <v>42458</v>
      </c>
      <c r="K522" s="4">
        <v>42458</v>
      </c>
      <c r="L522" s="5">
        <v>0.64583333333333337</v>
      </c>
      <c r="M522" s="5">
        <v>0.64583333333333337</v>
      </c>
      <c r="N522">
        <v>55.5351</v>
      </c>
      <c r="O522">
        <v>13.95862</v>
      </c>
      <c r="P522">
        <v>434276</v>
      </c>
      <c r="Q522">
        <v>6154832</v>
      </c>
      <c r="R522" t="s">
        <v>490</v>
      </c>
      <c r="S522">
        <v>400</v>
      </c>
      <c r="T522" t="s">
        <v>563</v>
      </c>
      <c r="U522" t="s">
        <v>508</v>
      </c>
      <c r="V522" t="s">
        <v>504</v>
      </c>
      <c r="W522" t="s">
        <v>494</v>
      </c>
      <c r="X522" t="s">
        <v>494</v>
      </c>
      <c r="Y522" t="s">
        <v>536</v>
      </c>
      <c r="Z522">
        <v>1</v>
      </c>
      <c r="AA522">
        <v>1</v>
      </c>
      <c r="AE522" t="s">
        <v>42</v>
      </c>
      <c r="AF522" t="s">
        <v>496</v>
      </c>
      <c r="AG522" t="b">
        <v>0</v>
      </c>
      <c r="AH522" t="b">
        <v>0</v>
      </c>
      <c r="AI522" t="b">
        <v>0</v>
      </c>
      <c r="AK522" t="s">
        <v>497</v>
      </c>
      <c r="AL522" t="b">
        <v>0</v>
      </c>
      <c r="AM522" t="b">
        <v>0</v>
      </c>
    </row>
    <row r="523" spans="1:39">
      <c r="A523" t="s">
        <v>1288</v>
      </c>
      <c r="B523" t="b">
        <v>1</v>
      </c>
      <c r="C523">
        <v>102930</v>
      </c>
      <c r="D523" t="s">
        <v>86</v>
      </c>
      <c r="E523" t="s">
        <v>87</v>
      </c>
      <c r="F523" t="s">
        <v>488</v>
      </c>
      <c r="G523" t="s">
        <v>489</v>
      </c>
      <c r="H523" t="s">
        <v>41</v>
      </c>
      <c r="I523">
        <v>1</v>
      </c>
      <c r="J523" s="4">
        <v>43913</v>
      </c>
      <c r="K523" s="4">
        <v>43913</v>
      </c>
      <c r="L523" s="5">
        <v>0.70833333333333337</v>
      </c>
      <c r="M523" s="5">
        <v>0.74305555555555558</v>
      </c>
      <c r="N523">
        <v>55.515189999999997</v>
      </c>
      <c r="O523">
        <v>13.899330000000001</v>
      </c>
      <c r="P523">
        <v>430498</v>
      </c>
      <c r="Q523">
        <v>6152673</v>
      </c>
      <c r="R523" t="s">
        <v>490</v>
      </c>
      <c r="S523">
        <v>125</v>
      </c>
      <c r="T523" t="s">
        <v>552</v>
      </c>
      <c r="U523" t="s">
        <v>525</v>
      </c>
      <c r="V523" t="s">
        <v>504</v>
      </c>
      <c r="W523" t="s">
        <v>494</v>
      </c>
      <c r="X523" t="s">
        <v>494</v>
      </c>
      <c r="Y523" t="s">
        <v>536</v>
      </c>
      <c r="Z523">
        <v>4</v>
      </c>
      <c r="AA523">
        <v>4</v>
      </c>
      <c r="AD523" t="s">
        <v>527</v>
      </c>
      <c r="AE523" t="s">
        <v>538</v>
      </c>
      <c r="AF523" t="s">
        <v>496</v>
      </c>
      <c r="AG523" t="b">
        <v>0</v>
      </c>
      <c r="AH523" t="b">
        <v>0</v>
      </c>
      <c r="AI523" t="b">
        <v>0</v>
      </c>
      <c r="AK523" t="s">
        <v>497</v>
      </c>
      <c r="AL523" t="b">
        <v>0</v>
      </c>
      <c r="AM523" t="b">
        <v>0</v>
      </c>
    </row>
    <row r="524" spans="1:39">
      <c r="A524" t="s">
        <v>1289</v>
      </c>
      <c r="B524" t="b">
        <v>1</v>
      </c>
      <c r="C524">
        <v>102934</v>
      </c>
      <c r="D524" t="s">
        <v>102</v>
      </c>
      <c r="E524" t="s">
        <v>103</v>
      </c>
      <c r="F524" t="s">
        <v>488</v>
      </c>
      <c r="G524" t="s">
        <v>489</v>
      </c>
      <c r="H524" t="s">
        <v>46</v>
      </c>
      <c r="I524">
        <v>1</v>
      </c>
      <c r="J524" s="4">
        <v>43907</v>
      </c>
      <c r="K524" s="4">
        <v>43907</v>
      </c>
      <c r="L524" s="5">
        <v>0.375</v>
      </c>
      <c r="M524" s="5">
        <v>0.46875</v>
      </c>
      <c r="N524">
        <v>55.5351</v>
      </c>
      <c r="O524">
        <v>13.95862</v>
      </c>
      <c r="P524">
        <v>434276</v>
      </c>
      <c r="Q524">
        <v>6154832</v>
      </c>
      <c r="R524" t="s">
        <v>490</v>
      </c>
      <c r="S524">
        <v>400</v>
      </c>
      <c r="T524" t="s">
        <v>563</v>
      </c>
      <c r="U524" t="s">
        <v>508</v>
      </c>
      <c r="V524" t="s">
        <v>504</v>
      </c>
      <c r="W524" t="s">
        <v>494</v>
      </c>
      <c r="X524" t="s">
        <v>494</v>
      </c>
      <c r="Y524" t="s">
        <v>536</v>
      </c>
      <c r="Z524">
        <v>3</v>
      </c>
      <c r="AA524">
        <v>3</v>
      </c>
      <c r="AE524" t="s">
        <v>538</v>
      </c>
      <c r="AF524" t="s">
        <v>496</v>
      </c>
      <c r="AG524" t="b">
        <v>0</v>
      </c>
      <c r="AH524" t="b">
        <v>0</v>
      </c>
      <c r="AI524" t="b">
        <v>0</v>
      </c>
      <c r="AK524" t="s">
        <v>497</v>
      </c>
      <c r="AL524" t="b">
        <v>0</v>
      </c>
      <c r="AM524" t="b">
        <v>0</v>
      </c>
    </row>
    <row r="525" spans="1:39">
      <c r="A525" t="s">
        <v>1290</v>
      </c>
      <c r="B525" t="b">
        <v>1</v>
      </c>
      <c r="C525">
        <v>102932</v>
      </c>
      <c r="D525" t="s">
        <v>116</v>
      </c>
      <c r="E525" t="s">
        <v>117</v>
      </c>
      <c r="F525" t="s">
        <v>488</v>
      </c>
      <c r="G525" t="s">
        <v>489</v>
      </c>
      <c r="H525" t="s">
        <v>41</v>
      </c>
      <c r="I525">
        <v>1</v>
      </c>
      <c r="J525" s="4">
        <v>43913</v>
      </c>
      <c r="K525" s="4">
        <v>43913</v>
      </c>
      <c r="L525" s="5">
        <v>0.70833333333333337</v>
      </c>
      <c r="M525" s="5">
        <v>0.74305555555555558</v>
      </c>
      <c r="N525">
        <v>55.515189999999997</v>
      </c>
      <c r="O525">
        <v>13.899330000000001</v>
      </c>
      <c r="P525">
        <v>430498</v>
      </c>
      <c r="Q525">
        <v>6152673</v>
      </c>
      <c r="R525" t="s">
        <v>490</v>
      </c>
      <c r="S525">
        <v>125</v>
      </c>
      <c r="T525" t="s">
        <v>552</v>
      </c>
      <c r="U525" t="s">
        <v>525</v>
      </c>
      <c r="V525" t="s">
        <v>504</v>
      </c>
      <c r="W525" t="s">
        <v>494</v>
      </c>
      <c r="X525" t="s">
        <v>494</v>
      </c>
      <c r="Y525" t="s">
        <v>536</v>
      </c>
      <c r="Z525">
        <v>26</v>
      </c>
      <c r="AA525">
        <v>26</v>
      </c>
      <c r="AE525" t="s">
        <v>538</v>
      </c>
      <c r="AF525" t="s">
        <v>496</v>
      </c>
      <c r="AG525" t="b">
        <v>0</v>
      </c>
      <c r="AH525" t="b">
        <v>0</v>
      </c>
      <c r="AI525" t="b">
        <v>0</v>
      </c>
      <c r="AK525" t="s">
        <v>497</v>
      </c>
      <c r="AL525" t="b">
        <v>0</v>
      </c>
      <c r="AM525" t="b">
        <v>0</v>
      </c>
    </row>
    <row r="526" spans="1:39">
      <c r="A526" t="s">
        <v>1291</v>
      </c>
      <c r="B526" t="b">
        <v>1</v>
      </c>
      <c r="C526">
        <v>100049</v>
      </c>
      <c r="D526" t="s">
        <v>295</v>
      </c>
      <c r="E526" t="s">
        <v>296</v>
      </c>
      <c r="F526" t="s">
        <v>488</v>
      </c>
      <c r="G526" t="s">
        <v>489</v>
      </c>
      <c r="H526" t="s">
        <v>46</v>
      </c>
      <c r="I526">
        <v>1</v>
      </c>
      <c r="J526" s="4">
        <v>42442</v>
      </c>
      <c r="K526" s="4">
        <v>42442</v>
      </c>
      <c r="N526">
        <v>55.530740000000002</v>
      </c>
      <c r="O526">
        <v>13.879630000000001</v>
      </c>
      <c r="P526">
        <v>429282</v>
      </c>
      <c r="Q526">
        <v>6154424</v>
      </c>
      <c r="R526" t="s">
        <v>490</v>
      </c>
      <c r="S526">
        <v>310</v>
      </c>
      <c r="T526" t="s">
        <v>499</v>
      </c>
      <c r="U526" t="s">
        <v>492</v>
      </c>
      <c r="V526" t="s">
        <v>493</v>
      </c>
      <c r="W526" t="s">
        <v>494</v>
      </c>
      <c r="X526" t="s">
        <v>494</v>
      </c>
      <c r="Y526" t="s">
        <v>707</v>
      </c>
      <c r="Z526">
        <v>2</v>
      </c>
      <c r="AA526">
        <v>2</v>
      </c>
      <c r="AE526" t="s">
        <v>42</v>
      </c>
      <c r="AF526" t="s">
        <v>496</v>
      </c>
      <c r="AG526" t="b">
        <v>0</v>
      </c>
      <c r="AH526" t="b">
        <v>0</v>
      </c>
      <c r="AI526" t="b">
        <v>0</v>
      </c>
      <c r="AK526" t="s">
        <v>497</v>
      </c>
      <c r="AL526" t="b">
        <v>0</v>
      </c>
      <c r="AM526" t="b">
        <v>0</v>
      </c>
    </row>
    <row r="527" spans="1:39">
      <c r="A527" t="s">
        <v>1292</v>
      </c>
      <c r="B527" t="b">
        <v>1</v>
      </c>
      <c r="C527">
        <v>102105</v>
      </c>
      <c r="D527" t="s">
        <v>110</v>
      </c>
      <c r="E527" t="s">
        <v>111</v>
      </c>
      <c r="F527" t="s">
        <v>488</v>
      </c>
      <c r="G527" t="s">
        <v>489</v>
      </c>
      <c r="H527" t="s">
        <v>46</v>
      </c>
      <c r="I527">
        <v>1</v>
      </c>
      <c r="J527" s="4">
        <v>44692</v>
      </c>
      <c r="K527" s="4">
        <v>44692</v>
      </c>
      <c r="L527" s="5">
        <v>0.30208333333333331</v>
      </c>
      <c r="M527" s="5">
        <v>0.42708333333333331</v>
      </c>
      <c r="N527">
        <v>55.5351</v>
      </c>
      <c r="O527">
        <v>13.95862</v>
      </c>
      <c r="P527">
        <v>434276</v>
      </c>
      <c r="Q527">
        <v>6154832</v>
      </c>
      <c r="R527" t="s">
        <v>490</v>
      </c>
      <c r="S527">
        <v>400</v>
      </c>
      <c r="T527" t="s">
        <v>563</v>
      </c>
      <c r="U527" t="s">
        <v>508</v>
      </c>
      <c r="V527" t="s">
        <v>504</v>
      </c>
      <c r="W527" t="s">
        <v>494</v>
      </c>
      <c r="X527" t="s">
        <v>494</v>
      </c>
      <c r="Y527" t="s">
        <v>536</v>
      </c>
      <c r="Z527">
        <v>2</v>
      </c>
      <c r="AA527">
        <v>2</v>
      </c>
      <c r="AD527" t="s">
        <v>527</v>
      </c>
      <c r="AE527" t="s">
        <v>538</v>
      </c>
      <c r="AF527" t="s">
        <v>496</v>
      </c>
      <c r="AG527" t="b">
        <v>0</v>
      </c>
      <c r="AH527" t="b">
        <v>0</v>
      </c>
      <c r="AI527" t="b">
        <v>0</v>
      </c>
      <c r="AK527" t="s">
        <v>497</v>
      </c>
      <c r="AL527" t="b">
        <v>0</v>
      </c>
      <c r="AM527" t="b">
        <v>0</v>
      </c>
    </row>
    <row r="528" spans="1:39">
      <c r="A528" t="s">
        <v>1293</v>
      </c>
      <c r="B528" t="b">
        <v>1</v>
      </c>
      <c r="C528">
        <v>102993</v>
      </c>
      <c r="D528" t="s">
        <v>384</v>
      </c>
      <c r="E528" t="s">
        <v>385</v>
      </c>
      <c r="F528" t="s">
        <v>488</v>
      </c>
      <c r="G528" t="s">
        <v>489</v>
      </c>
      <c r="H528" t="s">
        <v>85</v>
      </c>
      <c r="I528">
        <v>1</v>
      </c>
      <c r="J528" s="4">
        <v>43266</v>
      </c>
      <c r="K528" s="4">
        <v>43266</v>
      </c>
      <c r="L528" s="5">
        <v>0.79166666666666663</v>
      </c>
      <c r="M528" s="5">
        <v>0.79166666666666663</v>
      </c>
      <c r="N528">
        <v>55.54081</v>
      </c>
      <c r="O528">
        <v>13.95609</v>
      </c>
      <c r="P528">
        <v>434125</v>
      </c>
      <c r="Q528">
        <v>6155470</v>
      </c>
      <c r="R528" t="s">
        <v>490</v>
      </c>
      <c r="S528">
        <v>1500</v>
      </c>
      <c r="T528" t="s">
        <v>507</v>
      </c>
      <c r="U528" t="s">
        <v>508</v>
      </c>
      <c r="V528" t="s">
        <v>504</v>
      </c>
      <c r="W528" t="s">
        <v>494</v>
      </c>
      <c r="X528" t="s">
        <v>494</v>
      </c>
      <c r="Y528" t="s">
        <v>1294</v>
      </c>
      <c r="Z528">
        <v>1</v>
      </c>
      <c r="AA528">
        <v>1</v>
      </c>
      <c r="AC528" t="s">
        <v>512</v>
      </c>
      <c r="AD528" t="s">
        <v>510</v>
      </c>
      <c r="AE528" t="s">
        <v>42</v>
      </c>
      <c r="AF528" t="s">
        <v>496</v>
      </c>
      <c r="AG528" t="b">
        <v>0</v>
      </c>
      <c r="AH528" t="b">
        <v>0</v>
      </c>
      <c r="AI528" t="b">
        <v>0</v>
      </c>
      <c r="AK528" t="s">
        <v>497</v>
      </c>
      <c r="AL528" t="b">
        <v>0</v>
      </c>
      <c r="AM528" t="b">
        <v>0</v>
      </c>
    </row>
    <row r="529" spans="1:39">
      <c r="A529" t="s">
        <v>1295</v>
      </c>
      <c r="B529" t="b">
        <v>1</v>
      </c>
      <c r="C529">
        <v>102950</v>
      </c>
      <c r="D529" t="s">
        <v>150</v>
      </c>
      <c r="E529" t="s">
        <v>151</v>
      </c>
      <c r="F529" t="s">
        <v>488</v>
      </c>
      <c r="G529" t="s">
        <v>489</v>
      </c>
      <c r="H529" t="s">
        <v>41</v>
      </c>
      <c r="I529">
        <v>1</v>
      </c>
      <c r="J529" s="4">
        <v>43293</v>
      </c>
      <c r="K529" s="4">
        <v>43293</v>
      </c>
      <c r="L529" s="5">
        <v>0.45833333333333331</v>
      </c>
      <c r="M529" s="5">
        <v>0.45833333333333331</v>
      </c>
      <c r="N529">
        <v>55.54081</v>
      </c>
      <c r="O529">
        <v>13.95609</v>
      </c>
      <c r="P529">
        <v>434125</v>
      </c>
      <c r="Q529">
        <v>6155470</v>
      </c>
      <c r="R529" t="s">
        <v>490</v>
      </c>
      <c r="S529">
        <v>1500</v>
      </c>
      <c r="T529" t="s">
        <v>507</v>
      </c>
      <c r="U529" t="s">
        <v>508</v>
      </c>
      <c r="V529" t="s">
        <v>504</v>
      </c>
      <c r="W529" t="s">
        <v>494</v>
      </c>
      <c r="X529" t="s">
        <v>494</v>
      </c>
      <c r="Y529" t="s">
        <v>536</v>
      </c>
      <c r="Z529">
        <v>2</v>
      </c>
      <c r="AA529">
        <v>2</v>
      </c>
      <c r="AE529" t="s">
        <v>542</v>
      </c>
      <c r="AF529" t="s">
        <v>496</v>
      </c>
      <c r="AG529" t="b">
        <v>0</v>
      </c>
      <c r="AH529" t="b">
        <v>0</v>
      </c>
      <c r="AI529" t="b">
        <v>0</v>
      </c>
      <c r="AK529" t="s">
        <v>497</v>
      </c>
      <c r="AL529" t="b">
        <v>0</v>
      </c>
      <c r="AM529" t="b">
        <v>0</v>
      </c>
    </row>
    <row r="530" spans="1:39">
      <c r="A530" t="s">
        <v>1296</v>
      </c>
      <c r="B530" t="b">
        <v>1</v>
      </c>
      <c r="C530">
        <v>103055</v>
      </c>
      <c r="D530" t="s">
        <v>413</v>
      </c>
      <c r="E530" t="s">
        <v>414</v>
      </c>
      <c r="F530" t="s">
        <v>488</v>
      </c>
      <c r="G530" t="s">
        <v>489</v>
      </c>
      <c r="H530" t="s">
        <v>41</v>
      </c>
      <c r="I530">
        <v>1</v>
      </c>
      <c r="J530" s="4">
        <v>43305</v>
      </c>
      <c r="K530" s="4">
        <v>43305</v>
      </c>
      <c r="L530" s="5">
        <v>0.39583333333333331</v>
      </c>
      <c r="M530" s="5">
        <v>0.41666666666666669</v>
      </c>
      <c r="N530">
        <v>55.547759999999997</v>
      </c>
      <c r="O530">
        <v>13.86754</v>
      </c>
      <c r="P530">
        <v>428550</v>
      </c>
      <c r="Q530">
        <v>6156331</v>
      </c>
      <c r="R530" t="s">
        <v>490</v>
      </c>
      <c r="S530">
        <v>627</v>
      </c>
      <c r="T530" t="s">
        <v>541</v>
      </c>
      <c r="U530" t="s">
        <v>525</v>
      </c>
      <c r="V530" t="s">
        <v>504</v>
      </c>
      <c r="W530" t="s">
        <v>494</v>
      </c>
      <c r="X530" t="s">
        <v>494</v>
      </c>
      <c r="Y530" t="s">
        <v>880</v>
      </c>
      <c r="Z530">
        <v>1</v>
      </c>
      <c r="AA530">
        <v>1</v>
      </c>
      <c r="AD530" t="s">
        <v>510</v>
      </c>
      <c r="AE530" t="s">
        <v>42</v>
      </c>
      <c r="AF530" t="s">
        <v>496</v>
      </c>
      <c r="AG530" t="b">
        <v>0</v>
      </c>
      <c r="AH530" t="b">
        <v>0</v>
      </c>
      <c r="AI530" t="b">
        <v>0</v>
      </c>
      <c r="AK530" t="s">
        <v>497</v>
      </c>
      <c r="AL530" t="b">
        <v>0</v>
      </c>
      <c r="AM530" t="b">
        <v>0</v>
      </c>
    </row>
    <row r="531" spans="1:39">
      <c r="A531" t="s">
        <v>1297</v>
      </c>
      <c r="B531" t="b">
        <v>1</v>
      </c>
      <c r="C531">
        <v>103037</v>
      </c>
      <c r="D531" t="s">
        <v>368</v>
      </c>
      <c r="E531" t="s">
        <v>369</v>
      </c>
      <c r="F531" t="s">
        <v>488</v>
      </c>
      <c r="G531" t="s">
        <v>489</v>
      </c>
      <c r="H531" t="s">
        <v>85</v>
      </c>
      <c r="I531">
        <v>1</v>
      </c>
      <c r="J531" s="4">
        <v>42412</v>
      </c>
      <c r="K531" s="4">
        <v>42412</v>
      </c>
      <c r="N531">
        <v>55.558250000000001</v>
      </c>
      <c r="O531">
        <v>13.85868</v>
      </c>
      <c r="P531">
        <v>428010</v>
      </c>
      <c r="Q531">
        <v>6157507</v>
      </c>
      <c r="R531" t="s">
        <v>490</v>
      </c>
      <c r="S531">
        <v>100</v>
      </c>
      <c r="T531" t="s">
        <v>531</v>
      </c>
      <c r="U531" t="s">
        <v>532</v>
      </c>
      <c r="V531" t="s">
        <v>504</v>
      </c>
      <c r="W531" t="s">
        <v>494</v>
      </c>
      <c r="X531" t="s">
        <v>494</v>
      </c>
      <c r="Y531" t="s">
        <v>495</v>
      </c>
      <c r="Z531">
        <v>2</v>
      </c>
      <c r="AA531">
        <v>2</v>
      </c>
      <c r="AC531" t="s">
        <v>512</v>
      </c>
      <c r="AE531" t="s">
        <v>438</v>
      </c>
      <c r="AF531" t="s">
        <v>496</v>
      </c>
      <c r="AG531" t="b">
        <v>0</v>
      </c>
      <c r="AH531" t="b">
        <v>0</v>
      </c>
      <c r="AI531" t="b">
        <v>0</v>
      </c>
      <c r="AK531" t="s">
        <v>497</v>
      </c>
      <c r="AL531" t="b">
        <v>0</v>
      </c>
      <c r="AM531" t="b">
        <v>0</v>
      </c>
    </row>
    <row r="532" spans="1:39">
      <c r="A532" t="s">
        <v>1298</v>
      </c>
      <c r="B532" t="b">
        <v>1</v>
      </c>
      <c r="C532">
        <v>100028</v>
      </c>
      <c r="D532" t="s">
        <v>60</v>
      </c>
      <c r="E532" t="s">
        <v>61</v>
      </c>
      <c r="F532" t="s">
        <v>488</v>
      </c>
      <c r="G532" t="s">
        <v>489</v>
      </c>
      <c r="H532" t="s">
        <v>46</v>
      </c>
      <c r="I532">
        <v>1</v>
      </c>
      <c r="J532" s="4">
        <v>44295</v>
      </c>
      <c r="K532" s="4">
        <v>44295</v>
      </c>
      <c r="L532" s="5">
        <v>0.70833333333333337</v>
      </c>
      <c r="M532" s="5">
        <v>0.75</v>
      </c>
      <c r="N532">
        <v>55.515189999999997</v>
      </c>
      <c r="O532">
        <v>13.899330000000001</v>
      </c>
      <c r="P532">
        <v>430498</v>
      </c>
      <c r="Q532">
        <v>6152673</v>
      </c>
      <c r="R532" t="s">
        <v>490</v>
      </c>
      <c r="S532">
        <v>125</v>
      </c>
      <c r="T532" t="s">
        <v>552</v>
      </c>
      <c r="U532" t="s">
        <v>525</v>
      </c>
      <c r="V532" t="s">
        <v>504</v>
      </c>
      <c r="W532" t="s">
        <v>494</v>
      </c>
      <c r="X532" t="s">
        <v>494</v>
      </c>
      <c r="Y532" t="s">
        <v>536</v>
      </c>
      <c r="Z532">
        <v>2</v>
      </c>
      <c r="AA532">
        <v>2</v>
      </c>
      <c r="AE532" t="s">
        <v>51</v>
      </c>
      <c r="AF532" t="s">
        <v>496</v>
      </c>
      <c r="AG532" t="b">
        <v>0</v>
      </c>
      <c r="AH532" t="b">
        <v>0</v>
      </c>
      <c r="AI532" t="b">
        <v>0</v>
      </c>
      <c r="AK532" t="s">
        <v>497</v>
      </c>
      <c r="AL532" t="b">
        <v>0</v>
      </c>
      <c r="AM532" t="b">
        <v>0</v>
      </c>
    </row>
    <row r="533" spans="1:39">
      <c r="A533" t="s">
        <v>1299</v>
      </c>
      <c r="B533" t="b">
        <v>1</v>
      </c>
      <c r="C533">
        <v>102987</v>
      </c>
      <c r="D533" t="s">
        <v>388</v>
      </c>
      <c r="E533" t="s">
        <v>389</v>
      </c>
      <c r="F533" t="s">
        <v>488</v>
      </c>
      <c r="G533" t="s">
        <v>489</v>
      </c>
      <c r="H533" t="s">
        <v>41</v>
      </c>
      <c r="I533">
        <v>1</v>
      </c>
      <c r="J533" s="4">
        <v>44373</v>
      </c>
      <c r="K533" s="4">
        <v>44373</v>
      </c>
      <c r="N533">
        <v>55.542810000000003</v>
      </c>
      <c r="O533">
        <v>13.95336</v>
      </c>
      <c r="P533">
        <v>433956</v>
      </c>
      <c r="Q533">
        <v>6155695</v>
      </c>
      <c r="R533" t="s">
        <v>490</v>
      </c>
      <c r="S533">
        <v>50</v>
      </c>
      <c r="T533" t="s">
        <v>1300</v>
      </c>
      <c r="U533" t="s">
        <v>508</v>
      </c>
      <c r="V533" t="s">
        <v>504</v>
      </c>
      <c r="W533" t="s">
        <v>494</v>
      </c>
      <c r="X533" t="s">
        <v>494</v>
      </c>
      <c r="Y533" t="s">
        <v>536</v>
      </c>
      <c r="Z533">
        <v>1</v>
      </c>
      <c r="AA533">
        <v>1</v>
      </c>
      <c r="AC533" t="s">
        <v>512</v>
      </c>
      <c r="AE533" t="s">
        <v>538</v>
      </c>
      <c r="AF533" t="s">
        <v>496</v>
      </c>
      <c r="AG533" t="b">
        <v>0</v>
      </c>
      <c r="AH533" t="b">
        <v>0</v>
      </c>
      <c r="AI533" t="b">
        <v>0</v>
      </c>
      <c r="AK533" t="s">
        <v>497</v>
      </c>
      <c r="AL533" t="b">
        <v>0</v>
      </c>
      <c r="AM533" t="b">
        <v>0</v>
      </c>
    </row>
    <row r="534" spans="1:39">
      <c r="A534" t="s">
        <v>1301</v>
      </c>
      <c r="B534" t="b">
        <v>1</v>
      </c>
      <c r="C534">
        <v>100048</v>
      </c>
      <c r="D534" t="s">
        <v>304</v>
      </c>
      <c r="E534" t="s">
        <v>305</v>
      </c>
      <c r="F534" t="s">
        <v>488</v>
      </c>
      <c r="G534" t="s">
        <v>489</v>
      </c>
      <c r="H534" t="s">
        <v>41</v>
      </c>
      <c r="I534">
        <v>1</v>
      </c>
      <c r="J534" s="4">
        <v>44483</v>
      </c>
      <c r="K534" s="4">
        <v>44483</v>
      </c>
      <c r="N534">
        <v>55.555990000000001</v>
      </c>
      <c r="O534">
        <v>13.8973</v>
      </c>
      <c r="P534">
        <v>430442</v>
      </c>
      <c r="Q534">
        <v>6157216</v>
      </c>
      <c r="R534" t="s">
        <v>490</v>
      </c>
      <c r="S534">
        <v>400</v>
      </c>
      <c r="T534" t="s">
        <v>575</v>
      </c>
      <c r="U534" t="s">
        <v>532</v>
      </c>
      <c r="V534" t="s">
        <v>504</v>
      </c>
      <c r="W534" t="s">
        <v>494</v>
      </c>
      <c r="X534" t="s">
        <v>494</v>
      </c>
      <c r="Y534" t="s">
        <v>1302</v>
      </c>
      <c r="AE534" t="s">
        <v>42</v>
      </c>
      <c r="AF534" t="s">
        <v>496</v>
      </c>
      <c r="AG534" t="b">
        <v>0</v>
      </c>
      <c r="AH534" t="b">
        <v>0</v>
      </c>
      <c r="AI534" t="b">
        <v>0</v>
      </c>
      <c r="AK534" t="s">
        <v>497</v>
      </c>
      <c r="AL534" t="b">
        <v>0</v>
      </c>
      <c r="AM534" t="b">
        <v>0</v>
      </c>
    </row>
    <row r="535" spans="1:39">
      <c r="A535" t="s">
        <v>1303</v>
      </c>
      <c r="B535" t="b">
        <v>1</v>
      </c>
      <c r="C535">
        <v>103076</v>
      </c>
      <c r="D535" t="s">
        <v>348</v>
      </c>
      <c r="E535" t="s">
        <v>349</v>
      </c>
      <c r="F535" t="s">
        <v>488</v>
      </c>
      <c r="G535" t="s">
        <v>489</v>
      </c>
      <c r="H535" t="s">
        <v>81</v>
      </c>
      <c r="I535">
        <v>1</v>
      </c>
      <c r="J535" s="4">
        <v>45814</v>
      </c>
      <c r="K535" s="4">
        <v>45814</v>
      </c>
      <c r="L535" s="5">
        <v>0.58333333333333337</v>
      </c>
      <c r="M535" s="5">
        <v>0.58333333333333337</v>
      </c>
      <c r="N535">
        <v>55.555309999999999</v>
      </c>
      <c r="O535">
        <v>13.8569</v>
      </c>
      <c r="P535">
        <v>427893</v>
      </c>
      <c r="Q535">
        <v>6157182</v>
      </c>
      <c r="R535" t="s">
        <v>490</v>
      </c>
      <c r="S535">
        <v>140</v>
      </c>
      <c r="T535" t="s">
        <v>491</v>
      </c>
      <c r="U535" t="s">
        <v>492</v>
      </c>
      <c r="V535" t="s">
        <v>493</v>
      </c>
      <c r="W535" t="s">
        <v>494</v>
      </c>
      <c r="X535" t="s">
        <v>494</v>
      </c>
      <c r="Y535" t="s">
        <v>600</v>
      </c>
      <c r="Z535">
        <v>1</v>
      </c>
      <c r="AA535">
        <v>1</v>
      </c>
      <c r="AE535" t="s">
        <v>42</v>
      </c>
      <c r="AF535" t="s">
        <v>601</v>
      </c>
      <c r="AG535" t="b">
        <v>0</v>
      </c>
      <c r="AH535" t="b">
        <v>0</v>
      </c>
      <c r="AI535" t="b">
        <v>0</v>
      </c>
      <c r="AK535" t="s">
        <v>497</v>
      </c>
      <c r="AL535" t="b">
        <v>0</v>
      </c>
      <c r="AM535" t="b">
        <v>0</v>
      </c>
    </row>
    <row r="536" spans="1:39">
      <c r="A536" t="s">
        <v>1304</v>
      </c>
      <c r="B536" t="b">
        <v>1</v>
      </c>
      <c r="C536">
        <v>100124</v>
      </c>
      <c r="D536" t="s">
        <v>352</v>
      </c>
      <c r="E536" t="s">
        <v>353</v>
      </c>
      <c r="F536" t="s">
        <v>488</v>
      </c>
      <c r="G536" t="s">
        <v>489</v>
      </c>
      <c r="H536" t="s">
        <v>81</v>
      </c>
      <c r="I536">
        <v>1</v>
      </c>
      <c r="J536" s="4">
        <v>45840</v>
      </c>
      <c r="K536" s="4">
        <v>45840</v>
      </c>
      <c r="L536" s="5">
        <v>0.84375</v>
      </c>
      <c r="M536" s="5">
        <v>0.875</v>
      </c>
      <c r="N536">
        <v>55.548569999999998</v>
      </c>
      <c r="O536">
        <v>13.97132</v>
      </c>
      <c r="P536">
        <v>435099</v>
      </c>
      <c r="Q536">
        <v>6156319</v>
      </c>
      <c r="R536" t="s">
        <v>490</v>
      </c>
      <c r="S536">
        <v>200</v>
      </c>
      <c r="T536" t="s">
        <v>658</v>
      </c>
      <c r="U536" t="s">
        <v>508</v>
      </c>
      <c r="V536" t="s">
        <v>504</v>
      </c>
      <c r="W536" t="s">
        <v>494</v>
      </c>
      <c r="X536" t="s">
        <v>494</v>
      </c>
      <c r="Y536" t="s">
        <v>536</v>
      </c>
      <c r="Z536">
        <v>55</v>
      </c>
      <c r="AA536">
        <v>55</v>
      </c>
      <c r="AE536" t="s">
        <v>62</v>
      </c>
      <c r="AF536" t="s">
        <v>496</v>
      </c>
      <c r="AG536" t="b">
        <v>0</v>
      </c>
      <c r="AH536" t="b">
        <v>0</v>
      </c>
      <c r="AI536" t="b">
        <v>0</v>
      </c>
      <c r="AK536" t="s">
        <v>497</v>
      </c>
      <c r="AL536" t="b">
        <v>0</v>
      </c>
      <c r="AM536" t="b">
        <v>0</v>
      </c>
    </row>
    <row r="537" spans="1:39">
      <c r="A537" t="s">
        <v>1305</v>
      </c>
      <c r="B537" t="b">
        <v>1</v>
      </c>
      <c r="C537">
        <v>103042</v>
      </c>
      <c r="D537" t="s">
        <v>398</v>
      </c>
      <c r="E537" t="s">
        <v>399</v>
      </c>
      <c r="F537" t="s">
        <v>488</v>
      </c>
      <c r="G537" t="s">
        <v>489</v>
      </c>
      <c r="H537" t="s">
        <v>85</v>
      </c>
      <c r="I537">
        <v>1</v>
      </c>
      <c r="J537" s="4">
        <v>45763</v>
      </c>
      <c r="K537" s="4">
        <v>45763</v>
      </c>
      <c r="L537" s="5">
        <v>0.375</v>
      </c>
      <c r="M537" s="5">
        <v>0.54166666666666663</v>
      </c>
      <c r="N537">
        <v>55.54081</v>
      </c>
      <c r="O537">
        <v>13.95609</v>
      </c>
      <c r="P537">
        <v>434125</v>
      </c>
      <c r="Q537">
        <v>6155470</v>
      </c>
      <c r="R537" t="s">
        <v>490</v>
      </c>
      <c r="S537">
        <v>1500</v>
      </c>
      <c r="T537" t="s">
        <v>507</v>
      </c>
      <c r="U537" t="s">
        <v>508</v>
      </c>
      <c r="V537" t="s">
        <v>504</v>
      </c>
      <c r="W537" t="s">
        <v>494</v>
      </c>
      <c r="X537" t="s">
        <v>494</v>
      </c>
      <c r="Y537" t="s">
        <v>526</v>
      </c>
      <c r="Z537">
        <v>1</v>
      </c>
      <c r="AA537">
        <v>1</v>
      </c>
      <c r="AE537" t="s">
        <v>42</v>
      </c>
      <c r="AF537" t="s">
        <v>496</v>
      </c>
      <c r="AG537" t="b">
        <v>0</v>
      </c>
      <c r="AH537" t="b">
        <v>0</v>
      </c>
      <c r="AI537" t="b">
        <v>0</v>
      </c>
      <c r="AK537" t="s">
        <v>497</v>
      </c>
      <c r="AL537" t="b">
        <v>0</v>
      </c>
      <c r="AM537" t="b">
        <v>0</v>
      </c>
    </row>
    <row r="538" spans="1:39">
      <c r="A538" t="s">
        <v>1306</v>
      </c>
      <c r="B538" t="b">
        <v>1</v>
      </c>
      <c r="C538">
        <v>103042</v>
      </c>
      <c r="D538" t="s">
        <v>398</v>
      </c>
      <c r="E538" t="s">
        <v>399</v>
      </c>
      <c r="F538" t="s">
        <v>488</v>
      </c>
      <c r="G538" t="s">
        <v>489</v>
      </c>
      <c r="H538" t="s">
        <v>85</v>
      </c>
      <c r="I538">
        <v>1</v>
      </c>
      <c r="J538" s="4">
        <v>45763</v>
      </c>
      <c r="K538" s="4">
        <v>45763</v>
      </c>
      <c r="L538" s="5">
        <v>0.375</v>
      </c>
      <c r="M538" s="5">
        <v>0.54166666666666663</v>
      </c>
      <c r="N538">
        <v>55.54081</v>
      </c>
      <c r="O538">
        <v>13.95609</v>
      </c>
      <c r="P538">
        <v>434125</v>
      </c>
      <c r="Q538">
        <v>6155470</v>
      </c>
      <c r="R538" t="s">
        <v>490</v>
      </c>
      <c r="S538">
        <v>1500</v>
      </c>
      <c r="T538" t="s">
        <v>507</v>
      </c>
      <c r="U538" t="s">
        <v>508</v>
      </c>
      <c r="V538" t="s">
        <v>504</v>
      </c>
      <c r="W538" t="s">
        <v>494</v>
      </c>
      <c r="X538" t="s">
        <v>494</v>
      </c>
      <c r="Y538" t="s">
        <v>526</v>
      </c>
      <c r="Z538">
        <v>1</v>
      </c>
      <c r="AA538">
        <v>1</v>
      </c>
      <c r="AE538" t="s">
        <v>42</v>
      </c>
      <c r="AF538" t="s">
        <v>496</v>
      </c>
      <c r="AG538" t="b">
        <v>0</v>
      </c>
      <c r="AH538" t="b">
        <v>0</v>
      </c>
      <c r="AI538" t="b">
        <v>0</v>
      </c>
      <c r="AK538" t="s">
        <v>497</v>
      </c>
      <c r="AL538" t="b">
        <v>0</v>
      </c>
      <c r="AM538" t="b">
        <v>0</v>
      </c>
    </row>
    <row r="539" spans="1:39">
      <c r="A539" t="s">
        <v>1307</v>
      </c>
      <c r="B539" t="b">
        <v>1</v>
      </c>
      <c r="C539">
        <v>102105</v>
      </c>
      <c r="D539" t="s">
        <v>110</v>
      </c>
      <c r="E539" t="s">
        <v>111</v>
      </c>
      <c r="F539" t="s">
        <v>488</v>
      </c>
      <c r="G539" t="s">
        <v>489</v>
      </c>
      <c r="H539" t="s">
        <v>46</v>
      </c>
      <c r="I539">
        <v>1</v>
      </c>
      <c r="J539" s="4">
        <v>45017</v>
      </c>
      <c r="K539" s="4">
        <v>45017</v>
      </c>
      <c r="L539" s="5">
        <v>0.59375</v>
      </c>
      <c r="M539" s="5">
        <v>0.60416666666666663</v>
      </c>
      <c r="N539">
        <v>55.5351</v>
      </c>
      <c r="O539">
        <v>13.95862</v>
      </c>
      <c r="P539">
        <v>434276</v>
      </c>
      <c r="Q539">
        <v>6154832</v>
      </c>
      <c r="R539" t="s">
        <v>490</v>
      </c>
      <c r="S539">
        <v>400</v>
      </c>
      <c r="T539" t="s">
        <v>563</v>
      </c>
      <c r="U539" t="s">
        <v>508</v>
      </c>
      <c r="V539" t="s">
        <v>504</v>
      </c>
      <c r="W539" t="s">
        <v>494</v>
      </c>
      <c r="X539" t="s">
        <v>494</v>
      </c>
      <c r="Y539" t="s">
        <v>536</v>
      </c>
      <c r="Z539">
        <v>6</v>
      </c>
      <c r="AA539">
        <v>6</v>
      </c>
      <c r="AD539" t="s">
        <v>527</v>
      </c>
      <c r="AE539" t="s">
        <v>538</v>
      </c>
      <c r="AF539" t="s">
        <v>496</v>
      </c>
      <c r="AG539" t="b">
        <v>0</v>
      </c>
      <c r="AH539" t="b">
        <v>0</v>
      </c>
      <c r="AI539" t="b">
        <v>0</v>
      </c>
      <c r="AK539" t="s">
        <v>497</v>
      </c>
      <c r="AL539" t="b">
        <v>0</v>
      </c>
      <c r="AM539" t="b">
        <v>0</v>
      </c>
    </row>
    <row r="540" spans="1:39">
      <c r="A540" t="s">
        <v>1308</v>
      </c>
      <c r="B540" t="b">
        <v>1</v>
      </c>
      <c r="C540">
        <v>102993</v>
      </c>
      <c r="D540" t="s">
        <v>384</v>
      </c>
      <c r="E540" t="s">
        <v>385</v>
      </c>
      <c r="F540" t="s">
        <v>488</v>
      </c>
      <c r="G540" t="s">
        <v>489</v>
      </c>
      <c r="H540" t="s">
        <v>85</v>
      </c>
      <c r="I540">
        <v>1</v>
      </c>
      <c r="J540" s="4">
        <v>45087</v>
      </c>
      <c r="K540" s="4">
        <v>45087</v>
      </c>
      <c r="L540" s="5">
        <v>0.52083333333333337</v>
      </c>
      <c r="M540" s="5">
        <v>0.52083333333333337</v>
      </c>
      <c r="N540">
        <v>55.54081</v>
      </c>
      <c r="O540">
        <v>13.95609</v>
      </c>
      <c r="P540">
        <v>434125</v>
      </c>
      <c r="Q540">
        <v>6155470</v>
      </c>
      <c r="R540" t="s">
        <v>490</v>
      </c>
      <c r="S540">
        <v>1500</v>
      </c>
      <c r="T540" t="s">
        <v>507</v>
      </c>
      <c r="U540" t="s">
        <v>508</v>
      </c>
      <c r="V540" t="s">
        <v>504</v>
      </c>
      <c r="W540" t="s">
        <v>494</v>
      </c>
      <c r="X540" t="s">
        <v>494</v>
      </c>
      <c r="Y540" t="s">
        <v>1309</v>
      </c>
      <c r="Z540">
        <v>1</v>
      </c>
      <c r="AA540">
        <v>1</v>
      </c>
      <c r="AD540" t="s">
        <v>510</v>
      </c>
      <c r="AE540" t="s">
        <v>42</v>
      </c>
      <c r="AF540" t="s">
        <v>496</v>
      </c>
      <c r="AG540" t="b">
        <v>0</v>
      </c>
      <c r="AH540" t="b">
        <v>0</v>
      </c>
      <c r="AI540" t="b">
        <v>0</v>
      </c>
      <c r="AK540" t="s">
        <v>497</v>
      </c>
      <c r="AL540" t="b">
        <v>0</v>
      </c>
      <c r="AM540" t="b">
        <v>0</v>
      </c>
    </row>
    <row r="541" spans="1:39">
      <c r="A541" t="s">
        <v>1310</v>
      </c>
      <c r="B541" t="b">
        <v>1</v>
      </c>
      <c r="C541">
        <v>102990</v>
      </c>
      <c r="D541" t="s">
        <v>39</v>
      </c>
      <c r="E541" t="s">
        <v>40</v>
      </c>
      <c r="F541" t="s">
        <v>488</v>
      </c>
      <c r="G541" t="s">
        <v>489</v>
      </c>
      <c r="H541" t="s">
        <v>41</v>
      </c>
      <c r="I541">
        <v>1</v>
      </c>
      <c r="J541" s="4">
        <v>45434</v>
      </c>
      <c r="K541" s="4">
        <v>45434</v>
      </c>
      <c r="L541" s="5">
        <v>0.45833333333333331</v>
      </c>
      <c r="M541" s="5">
        <v>0.4861111111111111</v>
      </c>
      <c r="N541">
        <v>55.516190000000002</v>
      </c>
      <c r="O541">
        <v>13.929740000000001</v>
      </c>
      <c r="P541">
        <v>432420</v>
      </c>
      <c r="Q541">
        <v>6152756</v>
      </c>
      <c r="R541" t="s">
        <v>490</v>
      </c>
      <c r="S541">
        <v>200</v>
      </c>
      <c r="T541" t="s">
        <v>1006</v>
      </c>
      <c r="U541" t="s">
        <v>525</v>
      </c>
      <c r="V541" t="s">
        <v>504</v>
      </c>
      <c r="W541" t="s">
        <v>494</v>
      </c>
      <c r="X541" t="s">
        <v>494</v>
      </c>
      <c r="Y541" t="s">
        <v>617</v>
      </c>
      <c r="Z541">
        <v>2</v>
      </c>
      <c r="AA541">
        <v>2</v>
      </c>
      <c r="AE541" t="s">
        <v>42</v>
      </c>
      <c r="AF541" t="s">
        <v>496</v>
      </c>
      <c r="AG541" t="b">
        <v>0</v>
      </c>
      <c r="AH541" t="b">
        <v>0</v>
      </c>
      <c r="AI541" t="b">
        <v>0</v>
      </c>
      <c r="AK541" t="s">
        <v>497</v>
      </c>
      <c r="AL541" t="b">
        <v>0</v>
      </c>
      <c r="AM541" t="b">
        <v>0</v>
      </c>
    </row>
    <row r="542" spans="1:39">
      <c r="A542" t="s">
        <v>1311</v>
      </c>
      <c r="B542" t="b">
        <v>1</v>
      </c>
      <c r="C542">
        <v>100065</v>
      </c>
      <c r="D542" t="s">
        <v>138</v>
      </c>
      <c r="E542" t="s">
        <v>139</v>
      </c>
      <c r="F542" t="s">
        <v>488</v>
      </c>
      <c r="G542" t="s">
        <v>489</v>
      </c>
      <c r="H542" t="s">
        <v>46</v>
      </c>
      <c r="I542">
        <v>1</v>
      </c>
      <c r="J542" s="4">
        <v>45431</v>
      </c>
      <c r="K542" s="4">
        <v>45431</v>
      </c>
      <c r="L542" s="5">
        <v>0.51041666666666663</v>
      </c>
      <c r="M542" s="5">
        <v>0.60416666666666663</v>
      </c>
      <c r="N542">
        <v>55.515189999999997</v>
      </c>
      <c r="O542">
        <v>13.899330000000001</v>
      </c>
      <c r="P542">
        <v>430498</v>
      </c>
      <c r="Q542">
        <v>6152673</v>
      </c>
      <c r="R542" t="s">
        <v>490</v>
      </c>
      <c r="S542">
        <v>125</v>
      </c>
      <c r="T542" t="s">
        <v>552</v>
      </c>
      <c r="U542" t="s">
        <v>525</v>
      </c>
      <c r="V542" t="s">
        <v>504</v>
      </c>
      <c r="W542" t="s">
        <v>494</v>
      </c>
      <c r="X542" t="s">
        <v>494</v>
      </c>
      <c r="Y542" t="s">
        <v>536</v>
      </c>
      <c r="Z542">
        <v>2</v>
      </c>
      <c r="AA542">
        <v>2</v>
      </c>
      <c r="AE542" t="s">
        <v>538</v>
      </c>
      <c r="AF542" t="s">
        <v>496</v>
      </c>
      <c r="AG542" t="b">
        <v>0</v>
      </c>
      <c r="AH542" t="b">
        <v>0</v>
      </c>
      <c r="AI542" t="b">
        <v>0</v>
      </c>
      <c r="AK542" t="s">
        <v>497</v>
      </c>
      <c r="AL542" t="b">
        <v>0</v>
      </c>
      <c r="AM542" t="b">
        <v>0</v>
      </c>
    </row>
    <row r="543" spans="1:39">
      <c r="A543" t="s">
        <v>1312</v>
      </c>
      <c r="B543" t="b">
        <v>1</v>
      </c>
      <c r="C543">
        <v>100124</v>
      </c>
      <c r="D543" t="s">
        <v>352</v>
      </c>
      <c r="E543" t="s">
        <v>353</v>
      </c>
      <c r="F543" t="s">
        <v>488</v>
      </c>
      <c r="G543" t="s">
        <v>489</v>
      </c>
      <c r="H543" t="s">
        <v>81</v>
      </c>
      <c r="I543">
        <v>1</v>
      </c>
      <c r="J543" s="4">
        <v>45489</v>
      </c>
      <c r="K543" s="4">
        <v>45489</v>
      </c>
      <c r="L543" s="5">
        <v>0.52083333333333337</v>
      </c>
      <c r="M543" s="5">
        <v>0.52083333333333337</v>
      </c>
      <c r="N543">
        <v>55.548569999999998</v>
      </c>
      <c r="O543">
        <v>13.97132</v>
      </c>
      <c r="P543">
        <v>435099</v>
      </c>
      <c r="Q543">
        <v>6156319</v>
      </c>
      <c r="R543" t="s">
        <v>490</v>
      </c>
      <c r="S543">
        <v>200</v>
      </c>
      <c r="T543" t="s">
        <v>658</v>
      </c>
      <c r="U543" t="s">
        <v>508</v>
      </c>
      <c r="V543" t="s">
        <v>504</v>
      </c>
      <c r="W543" t="s">
        <v>494</v>
      </c>
      <c r="X543" t="s">
        <v>494</v>
      </c>
      <c r="Y543" t="s">
        <v>536</v>
      </c>
      <c r="Z543">
        <v>5</v>
      </c>
      <c r="AA543">
        <v>5</v>
      </c>
      <c r="AE543" t="s">
        <v>431</v>
      </c>
      <c r="AF543" t="s">
        <v>496</v>
      </c>
      <c r="AG543" t="b">
        <v>0</v>
      </c>
      <c r="AH543" t="b">
        <v>0</v>
      </c>
      <c r="AI543" t="b">
        <v>0</v>
      </c>
      <c r="AK543" t="s">
        <v>497</v>
      </c>
      <c r="AL543" t="b">
        <v>0</v>
      </c>
      <c r="AM543" t="b">
        <v>0</v>
      </c>
    </row>
    <row r="544" spans="1:39">
      <c r="A544" t="s">
        <v>1313</v>
      </c>
      <c r="B544" t="b">
        <v>1</v>
      </c>
      <c r="C544">
        <v>102976</v>
      </c>
      <c r="D544" t="s">
        <v>243</v>
      </c>
      <c r="E544" t="s">
        <v>244</v>
      </c>
      <c r="F544" t="s">
        <v>488</v>
      </c>
      <c r="G544" t="s">
        <v>489</v>
      </c>
      <c r="H544" t="s">
        <v>85</v>
      </c>
      <c r="I544">
        <v>1</v>
      </c>
      <c r="J544" s="4">
        <v>45427</v>
      </c>
      <c r="K544" s="4">
        <v>45427</v>
      </c>
      <c r="L544" s="5">
        <v>0.64027777777777772</v>
      </c>
      <c r="M544" s="5">
        <v>0.64027777777777772</v>
      </c>
      <c r="N544">
        <v>55.54081</v>
      </c>
      <c r="O544">
        <v>13.95609</v>
      </c>
      <c r="P544">
        <v>434125</v>
      </c>
      <c r="Q544">
        <v>6155470</v>
      </c>
      <c r="R544" t="s">
        <v>490</v>
      </c>
      <c r="S544">
        <v>1500</v>
      </c>
      <c r="T544" t="s">
        <v>507</v>
      </c>
      <c r="U544" t="s">
        <v>508</v>
      </c>
      <c r="V544" t="s">
        <v>504</v>
      </c>
      <c r="W544" t="s">
        <v>494</v>
      </c>
      <c r="X544" t="s">
        <v>494</v>
      </c>
      <c r="Y544" t="s">
        <v>1314</v>
      </c>
      <c r="Z544">
        <v>7</v>
      </c>
      <c r="AA544">
        <v>7</v>
      </c>
      <c r="AE544" t="s">
        <v>538</v>
      </c>
      <c r="AF544" t="s">
        <v>496</v>
      </c>
      <c r="AG544" t="b">
        <v>0</v>
      </c>
      <c r="AH544" t="b">
        <v>0</v>
      </c>
      <c r="AI544" t="b">
        <v>0</v>
      </c>
      <c r="AK544" t="s">
        <v>497</v>
      </c>
      <c r="AL544" t="b">
        <v>0</v>
      </c>
      <c r="AM544" t="b">
        <v>0</v>
      </c>
    </row>
    <row r="545" spans="1:39">
      <c r="A545" t="s">
        <v>1315</v>
      </c>
      <c r="B545" t="b">
        <v>1</v>
      </c>
      <c r="C545">
        <v>102122</v>
      </c>
      <c r="D545" t="s">
        <v>346</v>
      </c>
      <c r="E545" t="s">
        <v>347</v>
      </c>
      <c r="F545" t="s">
        <v>488</v>
      </c>
      <c r="G545" t="s">
        <v>489</v>
      </c>
      <c r="H545" t="s">
        <v>41</v>
      </c>
      <c r="I545">
        <v>1</v>
      </c>
      <c r="J545" s="4">
        <v>38875</v>
      </c>
      <c r="K545" s="4">
        <v>38876</v>
      </c>
      <c r="L545" s="5">
        <v>0</v>
      </c>
      <c r="M545" s="5">
        <v>0</v>
      </c>
      <c r="N545">
        <v>55.527650000000001</v>
      </c>
      <c r="O545">
        <v>13.900119999999999</v>
      </c>
      <c r="P545">
        <v>430570</v>
      </c>
      <c r="Q545">
        <v>6154060</v>
      </c>
      <c r="R545" t="s">
        <v>490</v>
      </c>
      <c r="S545">
        <v>250</v>
      </c>
      <c r="T545" t="s">
        <v>578</v>
      </c>
      <c r="U545" t="s">
        <v>525</v>
      </c>
      <c r="V545" t="s">
        <v>504</v>
      </c>
      <c r="W545" t="s">
        <v>494</v>
      </c>
      <c r="X545" t="s">
        <v>494</v>
      </c>
      <c r="Y545" t="s">
        <v>1316</v>
      </c>
      <c r="Z545">
        <v>2</v>
      </c>
      <c r="AA545">
        <v>2</v>
      </c>
      <c r="AE545" t="s">
        <v>42</v>
      </c>
      <c r="AF545" t="s">
        <v>601</v>
      </c>
      <c r="AG545" t="b">
        <v>0</v>
      </c>
      <c r="AH545" t="b">
        <v>0</v>
      </c>
      <c r="AI545" t="b">
        <v>0</v>
      </c>
      <c r="AK545" t="s">
        <v>497</v>
      </c>
      <c r="AL545" t="b">
        <v>0</v>
      </c>
      <c r="AM545" t="b">
        <v>0</v>
      </c>
    </row>
    <row r="546" spans="1:39">
      <c r="A546" t="s">
        <v>1317</v>
      </c>
      <c r="B546" t="b">
        <v>1</v>
      </c>
      <c r="C546">
        <v>102954</v>
      </c>
      <c r="D546" t="s">
        <v>170</v>
      </c>
      <c r="E546" t="s">
        <v>171</v>
      </c>
      <c r="F546" t="s">
        <v>488</v>
      </c>
      <c r="G546" t="s">
        <v>489</v>
      </c>
      <c r="H546" t="s">
        <v>41</v>
      </c>
      <c r="I546">
        <v>1</v>
      </c>
      <c r="J546" s="4">
        <v>39909</v>
      </c>
      <c r="K546" s="4">
        <v>39909</v>
      </c>
      <c r="L546" s="5">
        <v>0.25</v>
      </c>
      <c r="M546" s="5">
        <v>0.35416666666666669</v>
      </c>
      <c r="N546">
        <v>55.543669999999999</v>
      </c>
      <c r="O546">
        <v>13.896430000000001</v>
      </c>
      <c r="P546">
        <v>430365</v>
      </c>
      <c r="Q546">
        <v>6155846</v>
      </c>
      <c r="R546" t="s">
        <v>490</v>
      </c>
      <c r="S546">
        <v>400</v>
      </c>
      <c r="T546" t="s">
        <v>1318</v>
      </c>
      <c r="U546" t="s">
        <v>525</v>
      </c>
      <c r="V546" t="s">
        <v>504</v>
      </c>
      <c r="W546" t="s">
        <v>494</v>
      </c>
      <c r="X546" t="s">
        <v>494</v>
      </c>
      <c r="Y546" t="s">
        <v>967</v>
      </c>
      <c r="AE546" t="s">
        <v>42</v>
      </c>
      <c r="AF546" t="s">
        <v>496</v>
      </c>
      <c r="AG546" t="b">
        <v>0</v>
      </c>
      <c r="AH546" t="b">
        <v>0</v>
      </c>
      <c r="AI546" t="b">
        <v>0</v>
      </c>
      <c r="AK546" t="s">
        <v>497</v>
      </c>
      <c r="AL546" t="b">
        <v>0</v>
      </c>
      <c r="AM546" t="b">
        <v>0</v>
      </c>
    </row>
    <row r="547" spans="1:39">
      <c r="A547" t="s">
        <v>1319</v>
      </c>
      <c r="B547" t="b">
        <v>1</v>
      </c>
      <c r="C547">
        <v>102925</v>
      </c>
      <c r="D547" t="s">
        <v>131</v>
      </c>
      <c r="E547" t="s">
        <v>132</v>
      </c>
      <c r="F547" t="s">
        <v>488</v>
      </c>
      <c r="G547" t="s">
        <v>489</v>
      </c>
      <c r="H547" t="s">
        <v>46</v>
      </c>
      <c r="I547">
        <v>1</v>
      </c>
      <c r="J547" s="4">
        <v>39920</v>
      </c>
      <c r="K547" s="4">
        <v>39920</v>
      </c>
      <c r="L547" s="5">
        <v>0.29652777777777778</v>
      </c>
      <c r="M547" s="5">
        <v>0.30972222222222223</v>
      </c>
      <c r="N547">
        <v>55.530740000000002</v>
      </c>
      <c r="O547">
        <v>13.879630000000001</v>
      </c>
      <c r="P547">
        <v>429282</v>
      </c>
      <c r="Q547">
        <v>6154424</v>
      </c>
      <c r="R547" t="s">
        <v>490</v>
      </c>
      <c r="S547">
        <v>310</v>
      </c>
      <c r="T547" t="s">
        <v>499</v>
      </c>
      <c r="U547" t="s">
        <v>492</v>
      </c>
      <c r="V547" t="s">
        <v>493</v>
      </c>
      <c r="W547" t="s">
        <v>494</v>
      </c>
      <c r="X547" t="s">
        <v>494</v>
      </c>
      <c r="Y547" t="s">
        <v>1121</v>
      </c>
      <c r="Z547">
        <v>8</v>
      </c>
      <c r="AA547">
        <v>8</v>
      </c>
      <c r="AD547" t="s">
        <v>527</v>
      </c>
      <c r="AE547" t="s">
        <v>42</v>
      </c>
      <c r="AF547" t="s">
        <v>496</v>
      </c>
      <c r="AG547" t="b">
        <v>0</v>
      </c>
      <c r="AH547" t="b">
        <v>0</v>
      </c>
      <c r="AI547" t="b">
        <v>0</v>
      </c>
      <c r="AK547" t="s">
        <v>497</v>
      </c>
      <c r="AL547" t="b">
        <v>0</v>
      </c>
      <c r="AM547" t="b">
        <v>0</v>
      </c>
    </row>
    <row r="548" spans="1:39">
      <c r="A548" t="s">
        <v>1320</v>
      </c>
      <c r="B548" t="b">
        <v>1</v>
      </c>
      <c r="C548">
        <v>103020</v>
      </c>
      <c r="D548" t="s">
        <v>328</v>
      </c>
      <c r="E548" t="s">
        <v>329</v>
      </c>
      <c r="F548" t="s">
        <v>488</v>
      </c>
      <c r="G548" t="s">
        <v>489</v>
      </c>
      <c r="H548" t="s">
        <v>41</v>
      </c>
      <c r="I548">
        <v>1</v>
      </c>
      <c r="J548" s="4">
        <v>41029</v>
      </c>
      <c r="K548" s="4">
        <v>41029</v>
      </c>
      <c r="L548" s="5">
        <v>0.54513888888888884</v>
      </c>
      <c r="M548" s="5">
        <v>0.59027777777777779</v>
      </c>
      <c r="N548">
        <v>55.530740000000002</v>
      </c>
      <c r="O548">
        <v>13.879630000000001</v>
      </c>
      <c r="P548">
        <v>429282</v>
      </c>
      <c r="Q548">
        <v>6154424</v>
      </c>
      <c r="R548" t="s">
        <v>490</v>
      </c>
      <c r="S548">
        <v>310</v>
      </c>
      <c r="T548" t="s">
        <v>499</v>
      </c>
      <c r="U548" t="s">
        <v>492</v>
      </c>
      <c r="V548" t="s">
        <v>493</v>
      </c>
      <c r="W548" t="s">
        <v>494</v>
      </c>
      <c r="X548" t="s">
        <v>494</v>
      </c>
      <c r="Y548" t="s">
        <v>685</v>
      </c>
      <c r="Z548">
        <v>1</v>
      </c>
      <c r="AA548">
        <v>1</v>
      </c>
      <c r="AE548" t="s">
        <v>538</v>
      </c>
      <c r="AF548" t="s">
        <v>496</v>
      </c>
      <c r="AG548" t="b">
        <v>0</v>
      </c>
      <c r="AH548" t="b">
        <v>0</v>
      </c>
      <c r="AI548" t="b">
        <v>0</v>
      </c>
      <c r="AK548" t="s">
        <v>497</v>
      </c>
      <c r="AL548" t="b">
        <v>0</v>
      </c>
      <c r="AM548" t="b">
        <v>0</v>
      </c>
    </row>
    <row r="549" spans="1:39">
      <c r="A549" t="s">
        <v>1321</v>
      </c>
      <c r="B549" t="b">
        <v>1</v>
      </c>
      <c r="C549">
        <v>102993</v>
      </c>
      <c r="D549" t="s">
        <v>384</v>
      </c>
      <c r="E549" t="s">
        <v>385</v>
      </c>
      <c r="F549" t="s">
        <v>488</v>
      </c>
      <c r="G549" t="s">
        <v>489</v>
      </c>
      <c r="H549" t="s">
        <v>85</v>
      </c>
      <c r="I549">
        <v>1</v>
      </c>
      <c r="J549" s="4">
        <v>41070</v>
      </c>
      <c r="K549" s="4">
        <v>41070</v>
      </c>
      <c r="L549" s="5">
        <v>0.58333333333333337</v>
      </c>
      <c r="M549" s="5">
        <v>0.58333333333333337</v>
      </c>
      <c r="N549">
        <v>55.54081</v>
      </c>
      <c r="O549">
        <v>13.95609</v>
      </c>
      <c r="P549">
        <v>434125</v>
      </c>
      <c r="Q549">
        <v>6155470</v>
      </c>
      <c r="R549" t="s">
        <v>490</v>
      </c>
      <c r="S549">
        <v>1500</v>
      </c>
      <c r="T549" t="s">
        <v>507</v>
      </c>
      <c r="U549" t="s">
        <v>508</v>
      </c>
      <c r="V549" t="s">
        <v>504</v>
      </c>
      <c r="W549" t="s">
        <v>494</v>
      </c>
      <c r="X549" t="s">
        <v>494</v>
      </c>
      <c r="Y549" t="s">
        <v>1322</v>
      </c>
      <c r="Z549">
        <v>1</v>
      </c>
      <c r="AA549">
        <v>1</v>
      </c>
      <c r="AE549" t="s">
        <v>42</v>
      </c>
      <c r="AF549" t="s">
        <v>496</v>
      </c>
      <c r="AG549" t="b">
        <v>0</v>
      </c>
      <c r="AH549" t="b">
        <v>0</v>
      </c>
      <c r="AI549" t="b">
        <v>0</v>
      </c>
      <c r="AK549" t="s">
        <v>497</v>
      </c>
      <c r="AL549" t="b">
        <v>0</v>
      </c>
      <c r="AM549" t="b">
        <v>0</v>
      </c>
    </row>
    <row r="550" spans="1:39">
      <c r="A550" t="s">
        <v>1323</v>
      </c>
      <c r="B550" t="b">
        <v>1</v>
      </c>
      <c r="C550">
        <v>102990</v>
      </c>
      <c r="D550" t="s">
        <v>39</v>
      </c>
      <c r="E550" t="s">
        <v>40</v>
      </c>
      <c r="F550" t="s">
        <v>488</v>
      </c>
      <c r="G550" t="s">
        <v>489</v>
      </c>
      <c r="H550" t="s">
        <v>41</v>
      </c>
      <c r="I550">
        <v>1</v>
      </c>
      <c r="J550" s="4">
        <v>41013</v>
      </c>
      <c r="K550" s="4">
        <v>41013</v>
      </c>
      <c r="L550" s="5">
        <v>0</v>
      </c>
      <c r="M550" s="5">
        <v>0</v>
      </c>
      <c r="N550">
        <v>55.527650000000001</v>
      </c>
      <c r="O550">
        <v>13.900119999999999</v>
      </c>
      <c r="P550">
        <v>430570</v>
      </c>
      <c r="Q550">
        <v>6154060</v>
      </c>
      <c r="R550" t="s">
        <v>490</v>
      </c>
      <c r="S550">
        <v>250</v>
      </c>
      <c r="T550" t="s">
        <v>578</v>
      </c>
      <c r="U550" t="s">
        <v>525</v>
      </c>
      <c r="V550" t="s">
        <v>504</v>
      </c>
      <c r="W550" t="s">
        <v>494</v>
      </c>
      <c r="X550" t="s">
        <v>494</v>
      </c>
      <c r="Y550" t="s">
        <v>581</v>
      </c>
      <c r="Z550">
        <v>4</v>
      </c>
      <c r="AA550">
        <v>4</v>
      </c>
      <c r="AE550" t="s">
        <v>42</v>
      </c>
      <c r="AF550" t="s">
        <v>496</v>
      </c>
      <c r="AG550" t="b">
        <v>0</v>
      </c>
      <c r="AH550" t="b">
        <v>0</v>
      </c>
      <c r="AI550" t="b">
        <v>0</v>
      </c>
      <c r="AK550" t="s">
        <v>497</v>
      </c>
      <c r="AL550" t="b">
        <v>0</v>
      </c>
      <c r="AM550" t="b">
        <v>0</v>
      </c>
    </row>
    <row r="551" spans="1:39">
      <c r="A551" t="s">
        <v>1324</v>
      </c>
      <c r="B551" t="b">
        <v>1</v>
      </c>
      <c r="C551">
        <v>103055</v>
      </c>
      <c r="D551" t="s">
        <v>413</v>
      </c>
      <c r="E551" t="s">
        <v>414</v>
      </c>
      <c r="F551" t="s">
        <v>488</v>
      </c>
      <c r="G551" t="s">
        <v>489</v>
      </c>
      <c r="H551" t="s">
        <v>41</v>
      </c>
      <c r="I551">
        <v>1</v>
      </c>
      <c r="J551" s="4">
        <v>42056</v>
      </c>
      <c r="K551" s="4">
        <v>42056</v>
      </c>
      <c r="L551" s="5">
        <v>0.32291666666666669</v>
      </c>
      <c r="M551" s="5">
        <v>0.35416666666666669</v>
      </c>
      <c r="N551">
        <v>55.525739999999999</v>
      </c>
      <c r="O551">
        <v>13.93807</v>
      </c>
      <c r="P551">
        <v>432962</v>
      </c>
      <c r="Q551">
        <v>6153810</v>
      </c>
      <c r="R551" t="s">
        <v>490</v>
      </c>
      <c r="S551">
        <v>1981</v>
      </c>
      <c r="T551" t="s">
        <v>524</v>
      </c>
      <c r="U551" t="s">
        <v>525</v>
      </c>
      <c r="V551" t="s">
        <v>504</v>
      </c>
      <c r="W551" t="s">
        <v>494</v>
      </c>
      <c r="X551" t="s">
        <v>494</v>
      </c>
      <c r="Y551" t="s">
        <v>1325</v>
      </c>
      <c r="Z551">
        <v>1</v>
      </c>
      <c r="AA551">
        <v>1</v>
      </c>
      <c r="AE551" t="s">
        <v>42</v>
      </c>
      <c r="AF551" t="s">
        <v>496</v>
      </c>
      <c r="AG551" t="b">
        <v>0</v>
      </c>
      <c r="AH551" t="b">
        <v>0</v>
      </c>
      <c r="AI551" t="b">
        <v>0</v>
      </c>
      <c r="AK551" t="s">
        <v>497</v>
      </c>
      <c r="AL551" t="b">
        <v>0</v>
      </c>
      <c r="AM551" t="b">
        <v>0</v>
      </c>
    </row>
    <row r="552" spans="1:39">
      <c r="A552" t="s">
        <v>1326</v>
      </c>
      <c r="B552" t="b">
        <v>1</v>
      </c>
      <c r="C552">
        <v>103012</v>
      </c>
      <c r="D552" t="s">
        <v>358</v>
      </c>
      <c r="E552" t="s">
        <v>359</v>
      </c>
      <c r="F552" t="s">
        <v>488</v>
      </c>
      <c r="G552" t="s">
        <v>489</v>
      </c>
      <c r="H552" t="s">
        <v>41</v>
      </c>
      <c r="I552">
        <v>1</v>
      </c>
      <c r="J552" s="4">
        <v>42529</v>
      </c>
      <c r="K552" s="4">
        <v>42529</v>
      </c>
      <c r="L552" s="5">
        <v>0.38541666666666669</v>
      </c>
      <c r="M552" s="5">
        <v>0.38541666666666669</v>
      </c>
      <c r="N552">
        <v>55.555309999999999</v>
      </c>
      <c r="O552">
        <v>13.8569</v>
      </c>
      <c r="P552">
        <v>427893</v>
      </c>
      <c r="Q552">
        <v>6157182</v>
      </c>
      <c r="R552" t="s">
        <v>490</v>
      </c>
      <c r="S552">
        <v>140</v>
      </c>
      <c r="T552" t="s">
        <v>491</v>
      </c>
      <c r="U552" t="s">
        <v>492</v>
      </c>
      <c r="V552" t="s">
        <v>493</v>
      </c>
      <c r="W552" t="s">
        <v>494</v>
      </c>
      <c r="X552" t="s">
        <v>494</v>
      </c>
      <c r="Y552" t="s">
        <v>1327</v>
      </c>
      <c r="Z552">
        <v>1</v>
      </c>
      <c r="AA552">
        <v>1</v>
      </c>
      <c r="AE552" t="s">
        <v>42</v>
      </c>
      <c r="AF552" t="s">
        <v>496</v>
      </c>
      <c r="AG552" t="b">
        <v>0</v>
      </c>
      <c r="AH552" t="b">
        <v>0</v>
      </c>
      <c r="AI552" t="b">
        <v>0</v>
      </c>
      <c r="AK552" t="s">
        <v>497</v>
      </c>
      <c r="AL552" t="b">
        <v>0</v>
      </c>
      <c r="AM552" t="b">
        <v>0</v>
      </c>
    </row>
    <row r="553" spans="1:39">
      <c r="A553" t="s">
        <v>1328</v>
      </c>
      <c r="B553" t="b">
        <v>1</v>
      </c>
      <c r="C553">
        <v>103042</v>
      </c>
      <c r="D553" t="s">
        <v>398</v>
      </c>
      <c r="E553" t="s">
        <v>399</v>
      </c>
      <c r="F553" t="s">
        <v>488</v>
      </c>
      <c r="G553" t="s">
        <v>489</v>
      </c>
      <c r="H553" t="s">
        <v>85</v>
      </c>
      <c r="I553">
        <v>1</v>
      </c>
      <c r="J553" s="4">
        <v>43199</v>
      </c>
      <c r="K553" s="4">
        <v>43199</v>
      </c>
      <c r="N553">
        <v>55.569319999999998</v>
      </c>
      <c r="O553">
        <v>13.92938</v>
      </c>
      <c r="P553">
        <v>432488</v>
      </c>
      <c r="Q553">
        <v>6158668</v>
      </c>
      <c r="R553" t="s">
        <v>490</v>
      </c>
      <c r="S553">
        <v>593</v>
      </c>
      <c r="T553" t="s">
        <v>549</v>
      </c>
      <c r="U553" t="s">
        <v>508</v>
      </c>
      <c r="V553" t="s">
        <v>504</v>
      </c>
      <c r="W553" t="s">
        <v>494</v>
      </c>
      <c r="X553" t="s">
        <v>494</v>
      </c>
      <c r="Y553" t="s">
        <v>1329</v>
      </c>
      <c r="Z553">
        <v>2</v>
      </c>
      <c r="AA553">
        <v>2</v>
      </c>
      <c r="AE553" t="s">
        <v>42</v>
      </c>
      <c r="AF553" t="s">
        <v>496</v>
      </c>
      <c r="AG553" t="b">
        <v>0</v>
      </c>
      <c r="AH553" t="b">
        <v>0</v>
      </c>
      <c r="AI553" t="b">
        <v>0</v>
      </c>
      <c r="AK553" t="s">
        <v>497</v>
      </c>
      <c r="AL553" t="b">
        <v>0</v>
      </c>
      <c r="AM553" t="b">
        <v>0</v>
      </c>
    </row>
    <row r="554" spans="1:39">
      <c r="A554" t="s">
        <v>1330</v>
      </c>
      <c r="B554" t="b">
        <v>1</v>
      </c>
      <c r="C554">
        <v>103055</v>
      </c>
      <c r="D554" t="s">
        <v>413</v>
      </c>
      <c r="E554" t="s">
        <v>414</v>
      </c>
      <c r="F554" t="s">
        <v>488</v>
      </c>
      <c r="G554" t="s">
        <v>489</v>
      </c>
      <c r="H554" t="s">
        <v>41</v>
      </c>
      <c r="I554">
        <v>1</v>
      </c>
      <c r="J554" s="4">
        <v>42879</v>
      </c>
      <c r="K554" s="4">
        <v>42879</v>
      </c>
      <c r="L554" s="5">
        <v>0.6875</v>
      </c>
      <c r="M554" s="5">
        <v>0.75</v>
      </c>
      <c r="N554">
        <v>55.527650000000001</v>
      </c>
      <c r="O554">
        <v>13.900119999999999</v>
      </c>
      <c r="P554">
        <v>430570</v>
      </c>
      <c r="Q554">
        <v>6154060</v>
      </c>
      <c r="R554" t="s">
        <v>490</v>
      </c>
      <c r="S554">
        <v>250</v>
      </c>
      <c r="T554" t="s">
        <v>578</v>
      </c>
      <c r="U554" t="s">
        <v>525</v>
      </c>
      <c r="V554" t="s">
        <v>504</v>
      </c>
      <c r="W554" t="s">
        <v>494</v>
      </c>
      <c r="X554" t="s">
        <v>494</v>
      </c>
      <c r="Y554" t="s">
        <v>579</v>
      </c>
      <c r="Z554">
        <v>1</v>
      </c>
      <c r="AA554">
        <v>1</v>
      </c>
      <c r="AE554" t="s">
        <v>42</v>
      </c>
      <c r="AF554" t="s">
        <v>496</v>
      </c>
      <c r="AG554" t="b">
        <v>0</v>
      </c>
      <c r="AH554" t="b">
        <v>0</v>
      </c>
      <c r="AI554" t="b">
        <v>0</v>
      </c>
      <c r="AK554" t="s">
        <v>497</v>
      </c>
      <c r="AL554" t="b">
        <v>0</v>
      </c>
      <c r="AM554" t="b">
        <v>0</v>
      </c>
    </row>
    <row r="555" spans="1:39">
      <c r="A555" t="s">
        <v>1331</v>
      </c>
      <c r="B555" t="b">
        <v>1</v>
      </c>
      <c r="C555">
        <v>102990</v>
      </c>
      <c r="D555" t="s">
        <v>39</v>
      </c>
      <c r="E555" t="s">
        <v>40</v>
      </c>
      <c r="F555" t="s">
        <v>488</v>
      </c>
      <c r="G555" t="s">
        <v>489</v>
      </c>
      <c r="H555" t="s">
        <v>41</v>
      </c>
      <c r="I555">
        <v>1</v>
      </c>
      <c r="J555" s="4">
        <v>43630</v>
      </c>
      <c r="K555" s="4">
        <v>43630</v>
      </c>
      <c r="L555" s="5">
        <v>0.63541666666666663</v>
      </c>
      <c r="M555" s="5">
        <v>0.64583333333333337</v>
      </c>
      <c r="N555">
        <v>55.547759999999997</v>
      </c>
      <c r="O555">
        <v>13.86754</v>
      </c>
      <c r="P555">
        <v>428550</v>
      </c>
      <c r="Q555">
        <v>6156331</v>
      </c>
      <c r="R555" t="s">
        <v>490</v>
      </c>
      <c r="S555">
        <v>627</v>
      </c>
      <c r="T555" t="s">
        <v>541</v>
      </c>
      <c r="U555" t="s">
        <v>525</v>
      </c>
      <c r="V555" t="s">
        <v>504</v>
      </c>
      <c r="W555" t="s">
        <v>494</v>
      </c>
      <c r="X555" t="s">
        <v>494</v>
      </c>
      <c r="Y555" t="s">
        <v>617</v>
      </c>
      <c r="Z555">
        <v>1</v>
      </c>
      <c r="AA555">
        <v>1</v>
      </c>
      <c r="AE555" t="s">
        <v>42</v>
      </c>
      <c r="AF555" t="s">
        <v>496</v>
      </c>
      <c r="AG555" t="b">
        <v>0</v>
      </c>
      <c r="AH555" t="b">
        <v>0</v>
      </c>
      <c r="AI555" t="b">
        <v>0</v>
      </c>
      <c r="AK555" t="s">
        <v>497</v>
      </c>
      <c r="AL555" t="b">
        <v>0</v>
      </c>
      <c r="AM555" t="b">
        <v>0</v>
      </c>
    </row>
    <row r="556" spans="1:39">
      <c r="A556" t="s">
        <v>1332</v>
      </c>
      <c r="B556" t="b">
        <v>1</v>
      </c>
      <c r="C556">
        <v>100049</v>
      </c>
      <c r="D556" t="s">
        <v>295</v>
      </c>
      <c r="E556" t="s">
        <v>296</v>
      </c>
      <c r="F556" t="s">
        <v>488</v>
      </c>
      <c r="G556" t="s">
        <v>489</v>
      </c>
      <c r="H556" t="s">
        <v>46</v>
      </c>
      <c r="I556">
        <v>1</v>
      </c>
      <c r="J556" s="4">
        <v>43577</v>
      </c>
      <c r="K556" s="4">
        <v>43577</v>
      </c>
      <c r="L556" s="5">
        <v>0.44791666666666669</v>
      </c>
      <c r="M556" s="5">
        <v>0.46875</v>
      </c>
      <c r="N556">
        <v>55.547759999999997</v>
      </c>
      <c r="O556">
        <v>13.86754</v>
      </c>
      <c r="P556">
        <v>428550</v>
      </c>
      <c r="Q556">
        <v>6156331</v>
      </c>
      <c r="R556" t="s">
        <v>490</v>
      </c>
      <c r="S556">
        <v>627</v>
      </c>
      <c r="T556" t="s">
        <v>541</v>
      </c>
      <c r="U556" t="s">
        <v>525</v>
      </c>
      <c r="V556" t="s">
        <v>504</v>
      </c>
      <c r="W556" t="s">
        <v>494</v>
      </c>
      <c r="X556" t="s">
        <v>494</v>
      </c>
      <c r="Y556" t="s">
        <v>560</v>
      </c>
      <c r="Z556">
        <v>1</v>
      </c>
      <c r="AA556">
        <v>1</v>
      </c>
      <c r="AE556" t="s">
        <v>542</v>
      </c>
      <c r="AF556" t="s">
        <v>496</v>
      </c>
      <c r="AG556" t="b">
        <v>0</v>
      </c>
      <c r="AH556" t="b">
        <v>0</v>
      </c>
      <c r="AI556" t="b">
        <v>0</v>
      </c>
      <c r="AK556" t="s">
        <v>497</v>
      </c>
      <c r="AL556" t="b">
        <v>0</v>
      </c>
      <c r="AM556" t="b">
        <v>0</v>
      </c>
    </row>
    <row r="557" spans="1:39">
      <c r="A557" t="s">
        <v>1333</v>
      </c>
      <c r="B557" t="b">
        <v>1</v>
      </c>
      <c r="C557">
        <v>102990</v>
      </c>
      <c r="D557" t="s">
        <v>39</v>
      </c>
      <c r="E557" t="s">
        <v>40</v>
      </c>
      <c r="F557" t="s">
        <v>488</v>
      </c>
      <c r="G557" t="s">
        <v>489</v>
      </c>
      <c r="H557" t="s">
        <v>41</v>
      </c>
      <c r="I557">
        <v>1</v>
      </c>
      <c r="J557" s="4">
        <v>43577</v>
      </c>
      <c r="K557" s="4">
        <v>43577</v>
      </c>
      <c r="L557" s="5">
        <v>0.47916666666666669</v>
      </c>
      <c r="M557" s="5">
        <v>0.5</v>
      </c>
      <c r="N557">
        <v>55.558450000000001</v>
      </c>
      <c r="O557">
        <v>13.92013</v>
      </c>
      <c r="P557">
        <v>431887</v>
      </c>
      <c r="Q557">
        <v>6157468</v>
      </c>
      <c r="R557" t="s">
        <v>490</v>
      </c>
      <c r="S557">
        <v>593</v>
      </c>
      <c r="T557" t="s">
        <v>698</v>
      </c>
      <c r="U557" t="s">
        <v>508</v>
      </c>
      <c r="V557" t="s">
        <v>504</v>
      </c>
      <c r="W557" t="s">
        <v>494</v>
      </c>
      <c r="X557" t="s">
        <v>494</v>
      </c>
      <c r="Y557" t="s">
        <v>560</v>
      </c>
      <c r="Z557">
        <v>1</v>
      </c>
      <c r="AA557">
        <v>1</v>
      </c>
      <c r="AE557" t="s">
        <v>42</v>
      </c>
      <c r="AF557" t="s">
        <v>496</v>
      </c>
      <c r="AG557" t="b">
        <v>0</v>
      </c>
      <c r="AH557" t="b">
        <v>0</v>
      </c>
      <c r="AI557" t="b">
        <v>0</v>
      </c>
      <c r="AK557" t="s">
        <v>497</v>
      </c>
      <c r="AL557" t="b">
        <v>0</v>
      </c>
      <c r="AM557" t="b">
        <v>0</v>
      </c>
    </row>
    <row r="558" spans="1:39">
      <c r="A558" t="s">
        <v>1334</v>
      </c>
      <c r="B558" t="b">
        <v>1</v>
      </c>
      <c r="C558">
        <v>102947</v>
      </c>
      <c r="D558" t="s">
        <v>140</v>
      </c>
      <c r="E558" t="s">
        <v>141</v>
      </c>
      <c r="F558" t="s">
        <v>488</v>
      </c>
      <c r="G558" t="s">
        <v>489</v>
      </c>
      <c r="H558" t="s">
        <v>46</v>
      </c>
      <c r="I558">
        <v>1</v>
      </c>
      <c r="J558" s="4">
        <v>44343</v>
      </c>
      <c r="K558" s="4">
        <v>44343</v>
      </c>
      <c r="L558" s="5">
        <v>0.48055555555555557</v>
      </c>
      <c r="M558" s="5">
        <v>0.49722222222222223</v>
      </c>
      <c r="N558">
        <v>55.530740000000002</v>
      </c>
      <c r="O558">
        <v>13.879630000000001</v>
      </c>
      <c r="P558">
        <v>429282</v>
      </c>
      <c r="Q558">
        <v>6154424</v>
      </c>
      <c r="R558" t="s">
        <v>490</v>
      </c>
      <c r="S558">
        <v>310</v>
      </c>
      <c r="T558" t="s">
        <v>499</v>
      </c>
      <c r="U558" t="s">
        <v>492</v>
      </c>
      <c r="V558" t="s">
        <v>493</v>
      </c>
      <c r="W558" t="s">
        <v>494</v>
      </c>
      <c r="X558" t="s">
        <v>494</v>
      </c>
      <c r="Y558" t="s">
        <v>1335</v>
      </c>
      <c r="Z558">
        <v>2</v>
      </c>
      <c r="AA558">
        <v>2</v>
      </c>
      <c r="AE558" t="s">
        <v>42</v>
      </c>
      <c r="AF558" t="s">
        <v>496</v>
      </c>
      <c r="AG558" t="b">
        <v>0</v>
      </c>
      <c r="AH558" t="b">
        <v>0</v>
      </c>
      <c r="AI558" t="b">
        <v>0</v>
      </c>
      <c r="AK558" t="s">
        <v>497</v>
      </c>
      <c r="AL558" t="b">
        <v>0</v>
      </c>
      <c r="AM558" t="b">
        <v>0</v>
      </c>
    </row>
    <row r="559" spans="1:39">
      <c r="A559" t="s">
        <v>1336</v>
      </c>
      <c r="B559" t="b">
        <v>1</v>
      </c>
      <c r="C559">
        <v>102977</v>
      </c>
      <c r="D559" t="s">
        <v>47</v>
      </c>
      <c r="E559" t="s">
        <v>48</v>
      </c>
      <c r="F559" t="s">
        <v>488</v>
      </c>
      <c r="G559" t="s">
        <v>489</v>
      </c>
      <c r="H559" t="s">
        <v>46</v>
      </c>
      <c r="I559">
        <v>1</v>
      </c>
      <c r="J559" s="4">
        <v>43888</v>
      </c>
      <c r="K559" s="4">
        <v>43888</v>
      </c>
      <c r="L559" s="5">
        <v>0.3527777777777778</v>
      </c>
      <c r="M559" s="5">
        <v>0.39583333333333331</v>
      </c>
      <c r="N559">
        <v>55.551000000000002</v>
      </c>
      <c r="O559">
        <v>13.865489999999999</v>
      </c>
      <c r="P559">
        <v>428426</v>
      </c>
      <c r="Q559">
        <v>6156693</v>
      </c>
      <c r="R559" t="s">
        <v>490</v>
      </c>
      <c r="S559">
        <v>400</v>
      </c>
      <c r="T559" t="s">
        <v>703</v>
      </c>
      <c r="U559" t="s">
        <v>525</v>
      </c>
      <c r="V559" t="s">
        <v>504</v>
      </c>
      <c r="W559" t="s">
        <v>494</v>
      </c>
      <c r="X559" t="s">
        <v>494</v>
      </c>
      <c r="Y559" t="s">
        <v>704</v>
      </c>
      <c r="Z559">
        <v>1</v>
      </c>
      <c r="AA559">
        <v>1</v>
      </c>
      <c r="AE559" t="s">
        <v>42</v>
      </c>
      <c r="AF559" t="s">
        <v>496</v>
      </c>
      <c r="AG559" t="b">
        <v>0</v>
      </c>
      <c r="AH559" t="b">
        <v>0</v>
      </c>
      <c r="AI559" t="b">
        <v>0</v>
      </c>
      <c r="AK559" t="s">
        <v>497</v>
      </c>
      <c r="AL559" t="b">
        <v>0</v>
      </c>
      <c r="AM559" t="b">
        <v>0</v>
      </c>
    </row>
    <row r="560" spans="1:39">
      <c r="A560" t="s">
        <v>1337</v>
      </c>
      <c r="B560" t="b">
        <v>1</v>
      </c>
      <c r="C560">
        <v>103055</v>
      </c>
      <c r="D560" t="s">
        <v>413</v>
      </c>
      <c r="E560" t="s">
        <v>414</v>
      </c>
      <c r="F560" t="s">
        <v>488</v>
      </c>
      <c r="G560" t="s">
        <v>489</v>
      </c>
      <c r="H560" t="s">
        <v>41</v>
      </c>
      <c r="I560">
        <v>1</v>
      </c>
      <c r="J560" s="4">
        <v>43972</v>
      </c>
      <c r="K560" s="4">
        <v>43972</v>
      </c>
      <c r="L560" s="5">
        <v>0.77083333333333337</v>
      </c>
      <c r="M560" s="5">
        <v>0.8125</v>
      </c>
      <c r="N560">
        <v>55.530740000000002</v>
      </c>
      <c r="O560">
        <v>13.879630000000001</v>
      </c>
      <c r="P560">
        <v>429282</v>
      </c>
      <c r="Q560">
        <v>6154424</v>
      </c>
      <c r="R560" t="s">
        <v>490</v>
      </c>
      <c r="S560">
        <v>310</v>
      </c>
      <c r="T560" t="s">
        <v>499</v>
      </c>
      <c r="U560" t="s">
        <v>492</v>
      </c>
      <c r="V560" t="s">
        <v>493</v>
      </c>
      <c r="W560" t="s">
        <v>494</v>
      </c>
      <c r="X560" t="s">
        <v>494</v>
      </c>
      <c r="Y560" t="s">
        <v>565</v>
      </c>
      <c r="Z560">
        <v>3</v>
      </c>
      <c r="AA560">
        <v>3</v>
      </c>
      <c r="AE560" t="s">
        <v>42</v>
      </c>
      <c r="AF560" t="s">
        <v>496</v>
      </c>
      <c r="AG560" t="b">
        <v>0</v>
      </c>
      <c r="AH560" t="b">
        <v>0</v>
      </c>
      <c r="AI560" t="b">
        <v>0</v>
      </c>
      <c r="AK560" t="s">
        <v>497</v>
      </c>
      <c r="AL560" t="b">
        <v>0</v>
      </c>
      <c r="AM560" t="b">
        <v>0</v>
      </c>
    </row>
    <row r="561" spans="1:39">
      <c r="A561" t="s">
        <v>1338</v>
      </c>
      <c r="B561" t="b">
        <v>1</v>
      </c>
      <c r="C561">
        <v>102932</v>
      </c>
      <c r="D561" t="s">
        <v>116</v>
      </c>
      <c r="E561" t="s">
        <v>117</v>
      </c>
      <c r="F561" t="s">
        <v>488</v>
      </c>
      <c r="G561" t="s">
        <v>489</v>
      </c>
      <c r="H561" t="s">
        <v>41</v>
      </c>
      <c r="I561">
        <v>1</v>
      </c>
      <c r="J561" s="4">
        <v>43926</v>
      </c>
      <c r="K561" s="4">
        <v>43926</v>
      </c>
      <c r="L561" s="5">
        <v>0.51041666666666663</v>
      </c>
      <c r="M561" s="5">
        <v>0.58333333333333337</v>
      </c>
      <c r="N561">
        <v>55.515189999999997</v>
      </c>
      <c r="O561">
        <v>13.899330000000001</v>
      </c>
      <c r="P561">
        <v>430498</v>
      </c>
      <c r="Q561">
        <v>6152673</v>
      </c>
      <c r="R561" t="s">
        <v>490</v>
      </c>
      <c r="S561">
        <v>125</v>
      </c>
      <c r="T561" t="s">
        <v>552</v>
      </c>
      <c r="U561" t="s">
        <v>525</v>
      </c>
      <c r="V561" t="s">
        <v>504</v>
      </c>
      <c r="W561" t="s">
        <v>494</v>
      </c>
      <c r="X561" t="s">
        <v>494</v>
      </c>
      <c r="Y561" t="s">
        <v>536</v>
      </c>
      <c r="Z561">
        <v>22</v>
      </c>
      <c r="AA561">
        <v>22</v>
      </c>
      <c r="AE561" t="s">
        <v>51</v>
      </c>
      <c r="AF561" t="s">
        <v>496</v>
      </c>
      <c r="AG561" t="b">
        <v>0</v>
      </c>
      <c r="AH561" t="b">
        <v>0</v>
      </c>
      <c r="AI561" t="b">
        <v>0</v>
      </c>
      <c r="AK561" t="s">
        <v>497</v>
      </c>
      <c r="AL561" t="b">
        <v>0</v>
      </c>
      <c r="AM561" t="b">
        <v>0</v>
      </c>
    </row>
    <row r="562" spans="1:39">
      <c r="A562" t="s">
        <v>1339</v>
      </c>
      <c r="B562" t="b">
        <v>1</v>
      </c>
      <c r="C562">
        <v>103055</v>
      </c>
      <c r="D562" t="s">
        <v>413</v>
      </c>
      <c r="E562" t="s">
        <v>414</v>
      </c>
      <c r="F562" t="s">
        <v>488</v>
      </c>
      <c r="G562" t="s">
        <v>489</v>
      </c>
      <c r="H562" t="s">
        <v>41</v>
      </c>
      <c r="I562">
        <v>1</v>
      </c>
      <c r="J562" s="4">
        <v>43626</v>
      </c>
      <c r="K562" s="4">
        <v>43626</v>
      </c>
      <c r="L562" s="5">
        <v>0.73611111111111116</v>
      </c>
      <c r="M562" s="5">
        <v>0.76041666666666663</v>
      </c>
      <c r="N562">
        <v>55.547759999999997</v>
      </c>
      <c r="O562">
        <v>13.86754</v>
      </c>
      <c r="P562">
        <v>428550</v>
      </c>
      <c r="Q562">
        <v>6156331</v>
      </c>
      <c r="R562" t="s">
        <v>490</v>
      </c>
      <c r="S562">
        <v>627</v>
      </c>
      <c r="T562" t="s">
        <v>541</v>
      </c>
      <c r="U562" t="s">
        <v>525</v>
      </c>
      <c r="V562" t="s">
        <v>504</v>
      </c>
      <c r="W562" t="s">
        <v>494</v>
      </c>
      <c r="X562" t="s">
        <v>494</v>
      </c>
      <c r="Y562" t="s">
        <v>617</v>
      </c>
      <c r="Z562">
        <v>1</v>
      </c>
      <c r="AA562">
        <v>1</v>
      </c>
      <c r="AE562" t="s">
        <v>42</v>
      </c>
      <c r="AF562" t="s">
        <v>496</v>
      </c>
      <c r="AG562" t="b">
        <v>0</v>
      </c>
      <c r="AH562" t="b">
        <v>0</v>
      </c>
      <c r="AI562" t="b">
        <v>0</v>
      </c>
      <c r="AK562" t="s">
        <v>497</v>
      </c>
      <c r="AL562" t="b">
        <v>0</v>
      </c>
      <c r="AM562" t="b">
        <v>0</v>
      </c>
    </row>
    <row r="563" spans="1:39">
      <c r="A563" t="s">
        <v>1340</v>
      </c>
      <c r="B563" t="b">
        <v>1</v>
      </c>
      <c r="C563">
        <v>102993</v>
      </c>
      <c r="D563" t="s">
        <v>384</v>
      </c>
      <c r="E563" t="s">
        <v>385</v>
      </c>
      <c r="F563" t="s">
        <v>488</v>
      </c>
      <c r="G563" t="s">
        <v>489</v>
      </c>
      <c r="H563" t="s">
        <v>85</v>
      </c>
      <c r="I563">
        <v>1</v>
      </c>
      <c r="J563" s="4">
        <v>43636</v>
      </c>
      <c r="K563" s="4">
        <v>43636</v>
      </c>
      <c r="L563" s="5">
        <v>0.45208333333333334</v>
      </c>
      <c r="M563" s="5">
        <v>0.45208333333333334</v>
      </c>
      <c r="N563">
        <v>55.54081</v>
      </c>
      <c r="O563">
        <v>13.95609</v>
      </c>
      <c r="P563">
        <v>434125</v>
      </c>
      <c r="Q563">
        <v>6155470</v>
      </c>
      <c r="R563" t="s">
        <v>490</v>
      </c>
      <c r="S563">
        <v>1500</v>
      </c>
      <c r="T563" t="s">
        <v>507</v>
      </c>
      <c r="U563" t="s">
        <v>508</v>
      </c>
      <c r="V563" t="s">
        <v>504</v>
      </c>
      <c r="W563" t="s">
        <v>494</v>
      </c>
      <c r="X563" t="s">
        <v>494</v>
      </c>
      <c r="Y563" t="s">
        <v>1341</v>
      </c>
      <c r="Z563">
        <v>1</v>
      </c>
      <c r="AA563">
        <v>1</v>
      </c>
      <c r="AD563" t="s">
        <v>510</v>
      </c>
      <c r="AE563" t="s">
        <v>42</v>
      </c>
      <c r="AF563" t="s">
        <v>496</v>
      </c>
      <c r="AG563" t="b">
        <v>0</v>
      </c>
      <c r="AH563" t="b">
        <v>0</v>
      </c>
      <c r="AI563" t="b">
        <v>0</v>
      </c>
      <c r="AK563" t="s">
        <v>497</v>
      </c>
      <c r="AL563" t="b">
        <v>0</v>
      </c>
      <c r="AM563" t="b">
        <v>0</v>
      </c>
    </row>
    <row r="564" spans="1:39">
      <c r="A564" t="s">
        <v>1342</v>
      </c>
      <c r="B564" t="b">
        <v>1</v>
      </c>
      <c r="C564">
        <v>103055</v>
      </c>
      <c r="D564" t="s">
        <v>413</v>
      </c>
      <c r="E564" t="s">
        <v>414</v>
      </c>
      <c r="F564" t="s">
        <v>488</v>
      </c>
      <c r="G564" t="s">
        <v>489</v>
      </c>
      <c r="H564" t="s">
        <v>41</v>
      </c>
      <c r="I564">
        <v>1</v>
      </c>
      <c r="J564" s="4">
        <v>43608</v>
      </c>
      <c r="K564" s="4">
        <v>43608</v>
      </c>
      <c r="L564" s="5">
        <v>0.34027777777777779</v>
      </c>
      <c r="M564" s="5">
        <v>0.4513888888888889</v>
      </c>
      <c r="N564">
        <v>55.527650000000001</v>
      </c>
      <c r="O564">
        <v>13.900119999999999</v>
      </c>
      <c r="P564">
        <v>430570</v>
      </c>
      <c r="Q564">
        <v>6154060</v>
      </c>
      <c r="R564" t="s">
        <v>490</v>
      </c>
      <c r="S564">
        <v>250</v>
      </c>
      <c r="T564" t="s">
        <v>578</v>
      </c>
      <c r="U564" t="s">
        <v>525</v>
      </c>
      <c r="V564" t="s">
        <v>504</v>
      </c>
      <c r="W564" t="s">
        <v>494</v>
      </c>
      <c r="X564" t="s">
        <v>494</v>
      </c>
      <c r="Y564" t="s">
        <v>588</v>
      </c>
      <c r="Z564">
        <v>2</v>
      </c>
      <c r="AA564">
        <v>2</v>
      </c>
      <c r="AE564" t="s">
        <v>42</v>
      </c>
      <c r="AF564" t="s">
        <v>496</v>
      </c>
      <c r="AG564" t="b">
        <v>0</v>
      </c>
      <c r="AH564" t="b">
        <v>0</v>
      </c>
      <c r="AI564" t="b">
        <v>0</v>
      </c>
      <c r="AK564" t="s">
        <v>497</v>
      </c>
      <c r="AL564" t="b">
        <v>0</v>
      </c>
      <c r="AM564" t="b">
        <v>0</v>
      </c>
    </row>
    <row r="565" spans="1:39">
      <c r="A565" t="s">
        <v>1343</v>
      </c>
      <c r="B565" t="b">
        <v>1</v>
      </c>
      <c r="C565">
        <v>102990</v>
      </c>
      <c r="D565" t="s">
        <v>39</v>
      </c>
      <c r="E565" t="s">
        <v>40</v>
      </c>
      <c r="F565" t="s">
        <v>488</v>
      </c>
      <c r="G565" t="s">
        <v>489</v>
      </c>
      <c r="H565" t="s">
        <v>41</v>
      </c>
      <c r="I565">
        <v>1</v>
      </c>
      <c r="J565" s="4">
        <v>43647</v>
      </c>
      <c r="K565" s="4">
        <v>43647</v>
      </c>
      <c r="L565" s="5">
        <v>0.69791666666666663</v>
      </c>
      <c r="M565" s="5">
        <v>0.72222222222222221</v>
      </c>
      <c r="N565">
        <v>55.5351</v>
      </c>
      <c r="O565">
        <v>13.95862</v>
      </c>
      <c r="P565">
        <v>434276</v>
      </c>
      <c r="Q565">
        <v>6154832</v>
      </c>
      <c r="R565" t="s">
        <v>490</v>
      </c>
      <c r="S565">
        <v>400</v>
      </c>
      <c r="T565" t="s">
        <v>563</v>
      </c>
      <c r="U565" t="s">
        <v>508</v>
      </c>
      <c r="V565" t="s">
        <v>504</v>
      </c>
      <c r="W565" t="s">
        <v>494</v>
      </c>
      <c r="X565" t="s">
        <v>494</v>
      </c>
      <c r="Y565" t="s">
        <v>536</v>
      </c>
      <c r="Z565">
        <v>1</v>
      </c>
      <c r="AA565">
        <v>1</v>
      </c>
      <c r="AE565" t="s">
        <v>42</v>
      </c>
      <c r="AF565" t="s">
        <v>496</v>
      </c>
      <c r="AG565" t="b">
        <v>0</v>
      </c>
      <c r="AH565" t="b">
        <v>0</v>
      </c>
      <c r="AI565" t="b">
        <v>0</v>
      </c>
      <c r="AK565" t="s">
        <v>497</v>
      </c>
      <c r="AL565" t="b">
        <v>0</v>
      </c>
      <c r="AM565" t="b">
        <v>0</v>
      </c>
    </row>
    <row r="566" spans="1:39">
      <c r="A566" t="s">
        <v>1344</v>
      </c>
      <c r="B566" t="b">
        <v>1</v>
      </c>
      <c r="C566">
        <v>102977</v>
      </c>
      <c r="D566" t="s">
        <v>47</v>
      </c>
      <c r="E566" t="s">
        <v>48</v>
      </c>
      <c r="F566" t="s">
        <v>488</v>
      </c>
      <c r="G566" t="s">
        <v>489</v>
      </c>
      <c r="H566" t="s">
        <v>46</v>
      </c>
      <c r="I566">
        <v>1</v>
      </c>
      <c r="J566" s="4">
        <v>44682</v>
      </c>
      <c r="K566" s="4">
        <v>44682</v>
      </c>
      <c r="L566" s="5">
        <v>0.72222222222222221</v>
      </c>
      <c r="M566" s="5">
        <v>0.77083333333333337</v>
      </c>
      <c r="N566">
        <v>55.515189999999997</v>
      </c>
      <c r="O566">
        <v>13.899330000000001</v>
      </c>
      <c r="P566">
        <v>430498</v>
      </c>
      <c r="Q566">
        <v>6152673</v>
      </c>
      <c r="R566" t="s">
        <v>490</v>
      </c>
      <c r="S566">
        <v>125</v>
      </c>
      <c r="T566" t="s">
        <v>552</v>
      </c>
      <c r="U566" t="s">
        <v>525</v>
      </c>
      <c r="V566" t="s">
        <v>504</v>
      </c>
      <c r="W566" t="s">
        <v>494</v>
      </c>
      <c r="X566" t="s">
        <v>494</v>
      </c>
      <c r="Y566" t="s">
        <v>536</v>
      </c>
      <c r="Z566">
        <v>1</v>
      </c>
      <c r="AA566">
        <v>1</v>
      </c>
      <c r="AE566" t="s">
        <v>42</v>
      </c>
      <c r="AF566" t="s">
        <v>496</v>
      </c>
      <c r="AG566" t="b">
        <v>0</v>
      </c>
      <c r="AH566" t="b">
        <v>0</v>
      </c>
      <c r="AI566" t="b">
        <v>0</v>
      </c>
      <c r="AK566" t="s">
        <v>497</v>
      </c>
      <c r="AL566" t="b">
        <v>0</v>
      </c>
      <c r="AM566" t="b">
        <v>0</v>
      </c>
    </row>
    <row r="567" spans="1:39">
      <c r="A567" t="s">
        <v>1345</v>
      </c>
      <c r="B567" t="b">
        <v>1</v>
      </c>
      <c r="C567">
        <v>102626</v>
      </c>
      <c r="D567" t="s">
        <v>318</v>
      </c>
      <c r="E567" t="s">
        <v>319</v>
      </c>
      <c r="F567" t="s">
        <v>488</v>
      </c>
      <c r="G567" t="s">
        <v>489</v>
      </c>
      <c r="H567" t="s">
        <v>46</v>
      </c>
      <c r="I567">
        <v>1</v>
      </c>
      <c r="J567" s="4">
        <v>44704</v>
      </c>
      <c r="K567" s="4">
        <v>44704</v>
      </c>
      <c r="L567" s="5">
        <v>0.60763888888888884</v>
      </c>
      <c r="M567" s="5">
        <v>0.67708333333333337</v>
      </c>
      <c r="N567">
        <v>55.527650000000001</v>
      </c>
      <c r="O567">
        <v>13.900119999999999</v>
      </c>
      <c r="P567">
        <v>430570</v>
      </c>
      <c r="Q567">
        <v>6154060</v>
      </c>
      <c r="R567" t="s">
        <v>490</v>
      </c>
      <c r="S567">
        <v>250</v>
      </c>
      <c r="T567" t="s">
        <v>578</v>
      </c>
      <c r="U567" t="s">
        <v>525</v>
      </c>
      <c r="V567" t="s">
        <v>504</v>
      </c>
      <c r="W567" t="s">
        <v>494</v>
      </c>
      <c r="X567" t="s">
        <v>494</v>
      </c>
      <c r="Y567" t="s">
        <v>1346</v>
      </c>
      <c r="Z567">
        <v>2</v>
      </c>
      <c r="AA567">
        <v>2</v>
      </c>
      <c r="AD567" t="s">
        <v>527</v>
      </c>
      <c r="AE567" t="s">
        <v>51</v>
      </c>
      <c r="AF567" t="s">
        <v>496</v>
      </c>
      <c r="AG567" t="b">
        <v>0</v>
      </c>
      <c r="AH567" t="b">
        <v>0</v>
      </c>
      <c r="AI567" t="b">
        <v>0</v>
      </c>
      <c r="AK567" t="s">
        <v>497</v>
      </c>
      <c r="AL567" t="b">
        <v>0</v>
      </c>
      <c r="AM567" t="b">
        <v>0</v>
      </c>
    </row>
    <row r="568" spans="1:39">
      <c r="A568" t="s">
        <v>1347</v>
      </c>
      <c r="B568" t="b">
        <v>1</v>
      </c>
      <c r="C568">
        <v>102950</v>
      </c>
      <c r="D568" t="s">
        <v>150</v>
      </c>
      <c r="E568" t="s">
        <v>151</v>
      </c>
      <c r="F568" t="s">
        <v>488</v>
      </c>
      <c r="G568" t="s">
        <v>489</v>
      </c>
      <c r="H568" t="s">
        <v>41</v>
      </c>
      <c r="I568">
        <v>1</v>
      </c>
      <c r="J568" s="4">
        <v>45027</v>
      </c>
      <c r="K568" s="4">
        <v>45027</v>
      </c>
      <c r="L568" s="5">
        <v>0.58333333333333337</v>
      </c>
      <c r="M568" s="5">
        <v>0.58333333333333337</v>
      </c>
      <c r="N568">
        <v>55.551600000000001</v>
      </c>
      <c r="O568">
        <v>13.955550000000001</v>
      </c>
      <c r="P568">
        <v>434109</v>
      </c>
      <c r="Q568">
        <v>6156670</v>
      </c>
      <c r="R568" t="s">
        <v>490</v>
      </c>
      <c r="S568">
        <v>250</v>
      </c>
      <c r="T568" t="s">
        <v>765</v>
      </c>
      <c r="U568" t="s">
        <v>508</v>
      </c>
      <c r="V568" t="s">
        <v>504</v>
      </c>
      <c r="W568" t="s">
        <v>494</v>
      </c>
      <c r="X568" t="s">
        <v>494</v>
      </c>
      <c r="Y568" t="s">
        <v>536</v>
      </c>
      <c r="Z568">
        <v>2</v>
      </c>
      <c r="AA568">
        <v>2</v>
      </c>
      <c r="AE568" t="s">
        <v>538</v>
      </c>
      <c r="AF568" t="s">
        <v>496</v>
      </c>
      <c r="AG568" t="b">
        <v>0</v>
      </c>
      <c r="AH568" t="b">
        <v>0</v>
      </c>
      <c r="AI568" t="b">
        <v>0</v>
      </c>
      <c r="AK568" t="s">
        <v>497</v>
      </c>
      <c r="AL568" t="b">
        <v>0</v>
      </c>
      <c r="AM568" t="b">
        <v>0</v>
      </c>
    </row>
    <row r="569" spans="1:39">
      <c r="A569" t="s">
        <v>1348</v>
      </c>
      <c r="B569" t="b">
        <v>1</v>
      </c>
      <c r="C569">
        <v>103055</v>
      </c>
      <c r="D569" t="s">
        <v>413</v>
      </c>
      <c r="E569" t="s">
        <v>414</v>
      </c>
      <c r="F569" t="s">
        <v>488</v>
      </c>
      <c r="G569" t="s">
        <v>489</v>
      </c>
      <c r="H569" t="s">
        <v>41</v>
      </c>
      <c r="I569">
        <v>1</v>
      </c>
      <c r="J569" s="4">
        <v>45108</v>
      </c>
      <c r="K569" s="4">
        <v>45108</v>
      </c>
      <c r="L569" s="5">
        <v>0.41666666666666669</v>
      </c>
      <c r="M569" s="5">
        <v>0.6875</v>
      </c>
      <c r="N569">
        <v>55.553350000000002</v>
      </c>
      <c r="O569">
        <v>13.904</v>
      </c>
      <c r="P569">
        <v>430860</v>
      </c>
      <c r="Q569">
        <v>6156916</v>
      </c>
      <c r="R569" t="s">
        <v>490</v>
      </c>
      <c r="S569">
        <v>10</v>
      </c>
      <c r="T569" t="s">
        <v>1222</v>
      </c>
      <c r="U569" t="s">
        <v>532</v>
      </c>
      <c r="V569" t="s">
        <v>504</v>
      </c>
      <c r="W569" t="s">
        <v>494</v>
      </c>
      <c r="X569" t="s">
        <v>494</v>
      </c>
      <c r="Y569" t="s">
        <v>866</v>
      </c>
      <c r="Z569">
        <v>2</v>
      </c>
      <c r="AA569">
        <v>2</v>
      </c>
      <c r="AE569" t="s">
        <v>42</v>
      </c>
      <c r="AF569" t="s">
        <v>496</v>
      </c>
      <c r="AG569" t="b">
        <v>0</v>
      </c>
      <c r="AH569" t="b">
        <v>0</v>
      </c>
      <c r="AI569" t="b">
        <v>0</v>
      </c>
      <c r="AK569" t="s">
        <v>497</v>
      </c>
      <c r="AL569" t="b">
        <v>0</v>
      </c>
      <c r="AM569" t="b">
        <v>0</v>
      </c>
    </row>
    <row r="570" spans="1:39">
      <c r="A570" t="s">
        <v>1349</v>
      </c>
      <c r="B570" t="b">
        <v>1</v>
      </c>
      <c r="C570">
        <v>103037</v>
      </c>
      <c r="D570" t="s">
        <v>368</v>
      </c>
      <c r="E570" t="s">
        <v>369</v>
      </c>
      <c r="F570" t="s">
        <v>488</v>
      </c>
      <c r="G570" t="s">
        <v>489</v>
      </c>
      <c r="H570" t="s">
        <v>85</v>
      </c>
      <c r="I570">
        <v>1</v>
      </c>
      <c r="J570" s="4">
        <v>45052</v>
      </c>
      <c r="K570" s="4">
        <v>45052</v>
      </c>
      <c r="N570">
        <v>55.562260000000002</v>
      </c>
      <c r="O570">
        <v>13.922969999999999</v>
      </c>
      <c r="P570">
        <v>432072</v>
      </c>
      <c r="Q570">
        <v>6157889</v>
      </c>
      <c r="R570" t="s">
        <v>490</v>
      </c>
      <c r="S570">
        <v>400</v>
      </c>
      <c r="T570" t="s">
        <v>762</v>
      </c>
      <c r="U570" t="s">
        <v>508</v>
      </c>
      <c r="V570" t="s">
        <v>504</v>
      </c>
      <c r="W570" t="s">
        <v>494</v>
      </c>
      <c r="X570" t="s">
        <v>494</v>
      </c>
      <c r="Y570" t="s">
        <v>550</v>
      </c>
      <c r="Z570">
        <v>40</v>
      </c>
      <c r="AA570">
        <v>40</v>
      </c>
      <c r="AE570" t="s">
        <v>538</v>
      </c>
      <c r="AF570" t="s">
        <v>496</v>
      </c>
      <c r="AG570" t="b">
        <v>0</v>
      </c>
      <c r="AH570" t="b">
        <v>0</v>
      </c>
      <c r="AI570" t="b">
        <v>0</v>
      </c>
      <c r="AK570" t="s">
        <v>497</v>
      </c>
      <c r="AL570" t="b">
        <v>0</v>
      </c>
      <c r="AM570" t="b">
        <v>0</v>
      </c>
    </row>
    <row r="571" spans="1:39">
      <c r="A571" t="s">
        <v>1350</v>
      </c>
      <c r="B571" t="b">
        <v>1</v>
      </c>
      <c r="C571">
        <v>102977</v>
      </c>
      <c r="D571" t="s">
        <v>47</v>
      </c>
      <c r="E571" t="s">
        <v>48</v>
      </c>
      <c r="F571" t="s">
        <v>488</v>
      </c>
      <c r="G571" t="s">
        <v>489</v>
      </c>
      <c r="H571" t="s">
        <v>46</v>
      </c>
      <c r="I571">
        <v>1</v>
      </c>
      <c r="J571" s="4">
        <v>45431</v>
      </c>
      <c r="K571" s="4">
        <v>45431</v>
      </c>
      <c r="L571" s="5">
        <v>0.51041666666666663</v>
      </c>
      <c r="M571" s="5">
        <v>0.60416666666666663</v>
      </c>
      <c r="N571">
        <v>55.515189999999997</v>
      </c>
      <c r="O571">
        <v>13.899330000000001</v>
      </c>
      <c r="P571">
        <v>430498</v>
      </c>
      <c r="Q571">
        <v>6152673</v>
      </c>
      <c r="R571" t="s">
        <v>490</v>
      </c>
      <c r="S571">
        <v>125</v>
      </c>
      <c r="T571" t="s">
        <v>552</v>
      </c>
      <c r="U571" t="s">
        <v>525</v>
      </c>
      <c r="V571" t="s">
        <v>504</v>
      </c>
      <c r="W571" t="s">
        <v>494</v>
      </c>
      <c r="X571" t="s">
        <v>494</v>
      </c>
      <c r="Y571" t="s">
        <v>536</v>
      </c>
      <c r="Z571">
        <v>1</v>
      </c>
      <c r="AA571">
        <v>1</v>
      </c>
      <c r="AE571" t="s">
        <v>42</v>
      </c>
      <c r="AF571" t="s">
        <v>496</v>
      </c>
      <c r="AG571" t="b">
        <v>0</v>
      </c>
      <c r="AH571" t="b">
        <v>0</v>
      </c>
      <c r="AI571" t="b">
        <v>0</v>
      </c>
      <c r="AK571" t="s">
        <v>497</v>
      </c>
      <c r="AL571" t="b">
        <v>0</v>
      </c>
      <c r="AM571" t="b">
        <v>0</v>
      </c>
    </row>
    <row r="572" spans="1:39">
      <c r="A572" t="s">
        <v>1351</v>
      </c>
      <c r="B572" t="b">
        <v>1</v>
      </c>
      <c r="C572">
        <v>102993</v>
      </c>
      <c r="D572" t="s">
        <v>384</v>
      </c>
      <c r="E572" t="s">
        <v>385</v>
      </c>
      <c r="F572" t="s">
        <v>488</v>
      </c>
      <c r="G572" t="s">
        <v>489</v>
      </c>
      <c r="H572" t="s">
        <v>85</v>
      </c>
      <c r="I572">
        <v>1</v>
      </c>
      <c r="J572" s="4">
        <v>45458</v>
      </c>
      <c r="K572" s="4">
        <v>45458</v>
      </c>
      <c r="N572">
        <v>55.54081</v>
      </c>
      <c r="O572">
        <v>13.95609</v>
      </c>
      <c r="P572">
        <v>434125</v>
      </c>
      <c r="Q572">
        <v>6155470</v>
      </c>
      <c r="R572" t="s">
        <v>490</v>
      </c>
      <c r="S572">
        <v>1500</v>
      </c>
      <c r="T572" t="s">
        <v>507</v>
      </c>
      <c r="U572" t="s">
        <v>508</v>
      </c>
      <c r="V572" t="s">
        <v>504</v>
      </c>
      <c r="W572" t="s">
        <v>494</v>
      </c>
      <c r="X572" t="s">
        <v>494</v>
      </c>
      <c r="Y572" t="s">
        <v>526</v>
      </c>
      <c r="Z572">
        <v>1</v>
      </c>
      <c r="AA572">
        <v>1</v>
      </c>
      <c r="AE572" t="s">
        <v>42</v>
      </c>
      <c r="AF572" t="s">
        <v>496</v>
      </c>
      <c r="AG572" t="b">
        <v>0</v>
      </c>
      <c r="AH572" t="b">
        <v>0</v>
      </c>
      <c r="AI572" t="b">
        <v>0</v>
      </c>
      <c r="AK572" t="s">
        <v>497</v>
      </c>
      <c r="AL572" t="b">
        <v>0</v>
      </c>
      <c r="AM572" t="b">
        <v>0</v>
      </c>
    </row>
    <row r="573" spans="1:39">
      <c r="A573" t="s">
        <v>1352</v>
      </c>
      <c r="B573" t="b">
        <v>1</v>
      </c>
      <c r="C573">
        <v>103042</v>
      </c>
      <c r="D573" t="s">
        <v>398</v>
      </c>
      <c r="E573" t="s">
        <v>399</v>
      </c>
      <c r="F573" t="s">
        <v>488</v>
      </c>
      <c r="G573" t="s">
        <v>489</v>
      </c>
      <c r="H573" t="s">
        <v>85</v>
      </c>
      <c r="I573">
        <v>1</v>
      </c>
      <c r="J573" s="4">
        <v>45763</v>
      </c>
      <c r="K573" s="4">
        <v>45763</v>
      </c>
      <c r="L573" s="5">
        <v>0.375</v>
      </c>
      <c r="M573" s="5">
        <v>0.54166666666666663</v>
      </c>
      <c r="N573">
        <v>55.54081</v>
      </c>
      <c r="O573">
        <v>13.95609</v>
      </c>
      <c r="P573">
        <v>434125</v>
      </c>
      <c r="Q573">
        <v>6155470</v>
      </c>
      <c r="R573" t="s">
        <v>490</v>
      </c>
      <c r="S573">
        <v>1500</v>
      </c>
      <c r="T573" t="s">
        <v>507</v>
      </c>
      <c r="U573" t="s">
        <v>508</v>
      </c>
      <c r="V573" t="s">
        <v>504</v>
      </c>
      <c r="W573" t="s">
        <v>494</v>
      </c>
      <c r="X573" t="s">
        <v>494</v>
      </c>
      <c r="Y573" t="s">
        <v>526</v>
      </c>
      <c r="Z573">
        <v>1</v>
      </c>
      <c r="AA573">
        <v>1</v>
      </c>
      <c r="AE573" t="s">
        <v>42</v>
      </c>
      <c r="AF573" t="s">
        <v>496</v>
      </c>
      <c r="AG573" t="b">
        <v>0</v>
      </c>
      <c r="AH573" t="b">
        <v>0</v>
      </c>
      <c r="AI573" t="b">
        <v>0</v>
      </c>
      <c r="AK573" t="s">
        <v>497</v>
      </c>
      <c r="AL573" t="b">
        <v>0</v>
      </c>
      <c r="AM573" t="b">
        <v>0</v>
      </c>
    </row>
    <row r="574" spans="1:39">
      <c r="A574" t="s">
        <v>1353</v>
      </c>
      <c r="B574" t="b">
        <v>1</v>
      </c>
      <c r="C574">
        <v>103055</v>
      </c>
      <c r="D574" t="s">
        <v>413</v>
      </c>
      <c r="E574" t="s">
        <v>414</v>
      </c>
      <c r="F574" t="s">
        <v>488</v>
      </c>
      <c r="G574" t="s">
        <v>489</v>
      </c>
      <c r="H574" t="s">
        <v>41</v>
      </c>
      <c r="I574">
        <v>1</v>
      </c>
      <c r="J574" s="4">
        <v>45840</v>
      </c>
      <c r="K574" s="4">
        <v>45840</v>
      </c>
      <c r="L574" s="5">
        <v>0.84375</v>
      </c>
      <c r="M574" s="5">
        <v>0.875</v>
      </c>
      <c r="N574">
        <v>55.548569999999998</v>
      </c>
      <c r="O574">
        <v>13.97132</v>
      </c>
      <c r="P574">
        <v>435099</v>
      </c>
      <c r="Q574">
        <v>6156319</v>
      </c>
      <c r="R574" t="s">
        <v>490</v>
      </c>
      <c r="S574">
        <v>200</v>
      </c>
      <c r="T574" t="s">
        <v>658</v>
      </c>
      <c r="U574" t="s">
        <v>508</v>
      </c>
      <c r="V574" t="s">
        <v>504</v>
      </c>
      <c r="W574" t="s">
        <v>494</v>
      </c>
      <c r="X574" t="s">
        <v>494</v>
      </c>
      <c r="Y574" t="s">
        <v>536</v>
      </c>
      <c r="Z574">
        <v>2</v>
      </c>
      <c r="AA574">
        <v>2</v>
      </c>
      <c r="AE574" t="s">
        <v>42</v>
      </c>
      <c r="AF574" t="s">
        <v>496</v>
      </c>
      <c r="AG574" t="b">
        <v>0</v>
      </c>
      <c r="AH574" t="b">
        <v>0</v>
      </c>
      <c r="AI574" t="b">
        <v>0</v>
      </c>
      <c r="AK574" t="s">
        <v>497</v>
      </c>
      <c r="AL574" t="b">
        <v>0</v>
      </c>
      <c r="AM574" t="b">
        <v>0</v>
      </c>
    </row>
    <row r="575" spans="1:39">
      <c r="A575" t="s">
        <v>1354</v>
      </c>
      <c r="B575" t="b">
        <v>1</v>
      </c>
      <c r="C575">
        <v>103042</v>
      </c>
      <c r="D575" t="s">
        <v>398</v>
      </c>
      <c r="E575" t="s">
        <v>399</v>
      </c>
      <c r="F575" t="s">
        <v>488</v>
      </c>
      <c r="G575" t="s">
        <v>489</v>
      </c>
      <c r="H575" t="s">
        <v>85</v>
      </c>
      <c r="I575">
        <v>1</v>
      </c>
      <c r="J575" s="4">
        <v>46113</v>
      </c>
      <c r="K575" s="4">
        <v>46113</v>
      </c>
      <c r="L575" s="5">
        <v>0.54166666666666663</v>
      </c>
      <c r="M575" s="5">
        <v>0.54166666666666663</v>
      </c>
      <c r="N575">
        <v>55.538980000000002</v>
      </c>
      <c r="O575">
        <v>13.96345</v>
      </c>
      <c r="P575">
        <v>434586</v>
      </c>
      <c r="Q575">
        <v>6155259</v>
      </c>
      <c r="R575" t="s">
        <v>490</v>
      </c>
      <c r="S575">
        <v>250</v>
      </c>
      <c r="T575" t="s">
        <v>995</v>
      </c>
      <c r="U575" t="s">
        <v>947</v>
      </c>
      <c r="V575" t="s">
        <v>504</v>
      </c>
      <c r="W575" t="s">
        <v>494</v>
      </c>
      <c r="X575" t="s">
        <v>494</v>
      </c>
      <c r="Y575" t="s">
        <v>536</v>
      </c>
      <c r="Z575">
        <v>1</v>
      </c>
      <c r="AA575">
        <v>1</v>
      </c>
      <c r="AE575" t="s">
        <v>42</v>
      </c>
      <c r="AF575" t="s">
        <v>496</v>
      </c>
      <c r="AG575" t="b">
        <v>0</v>
      </c>
      <c r="AH575" t="b">
        <v>0</v>
      </c>
      <c r="AI575" t="b">
        <v>0</v>
      </c>
      <c r="AK575" t="s">
        <v>497</v>
      </c>
      <c r="AL575" t="b">
        <v>0</v>
      </c>
      <c r="AM575" t="b">
        <v>0</v>
      </c>
    </row>
    <row r="576" spans="1:39">
      <c r="A576" t="s">
        <v>1355</v>
      </c>
      <c r="B576" t="b">
        <v>1</v>
      </c>
      <c r="C576">
        <v>103055</v>
      </c>
      <c r="D576" t="s">
        <v>413</v>
      </c>
      <c r="E576" t="s">
        <v>414</v>
      </c>
      <c r="F576" t="s">
        <v>488</v>
      </c>
      <c r="G576" t="s">
        <v>489</v>
      </c>
      <c r="H576" t="s">
        <v>41</v>
      </c>
      <c r="I576">
        <v>1</v>
      </c>
      <c r="J576" s="4">
        <v>40387</v>
      </c>
      <c r="K576" s="4">
        <v>40387</v>
      </c>
      <c r="L576" s="5">
        <v>0.52083333333333337</v>
      </c>
      <c r="M576" s="5">
        <v>0.56597222222222221</v>
      </c>
      <c r="N576">
        <v>55.556330000000003</v>
      </c>
      <c r="O576">
        <v>13.86158</v>
      </c>
      <c r="P576">
        <v>428190</v>
      </c>
      <c r="Q576">
        <v>6157290</v>
      </c>
      <c r="R576" t="s">
        <v>490</v>
      </c>
      <c r="S576">
        <v>139</v>
      </c>
      <c r="T576" t="s">
        <v>647</v>
      </c>
      <c r="U576" t="s">
        <v>532</v>
      </c>
      <c r="V576" t="s">
        <v>504</v>
      </c>
      <c r="W576" t="s">
        <v>494</v>
      </c>
      <c r="X576" t="s">
        <v>494</v>
      </c>
      <c r="Y576" t="s">
        <v>1356</v>
      </c>
      <c r="Z576">
        <v>1</v>
      </c>
      <c r="AA576">
        <v>1</v>
      </c>
      <c r="AE576" t="s">
        <v>42</v>
      </c>
      <c r="AF576" t="s">
        <v>496</v>
      </c>
      <c r="AG576" t="b">
        <v>0</v>
      </c>
      <c r="AH576" t="b">
        <v>0</v>
      </c>
      <c r="AI576" t="b">
        <v>0</v>
      </c>
      <c r="AK576" t="s">
        <v>497</v>
      </c>
      <c r="AL576" t="b">
        <v>0</v>
      </c>
      <c r="AM576" t="b">
        <v>0</v>
      </c>
    </row>
    <row r="577" spans="1:39">
      <c r="A577" t="s">
        <v>1357</v>
      </c>
      <c r="B577" t="b">
        <v>1</v>
      </c>
      <c r="C577">
        <v>103042</v>
      </c>
      <c r="D577" t="s">
        <v>398</v>
      </c>
      <c r="E577" t="s">
        <v>399</v>
      </c>
      <c r="F577" t="s">
        <v>488</v>
      </c>
      <c r="G577" t="s">
        <v>489</v>
      </c>
      <c r="H577" t="s">
        <v>85</v>
      </c>
      <c r="I577">
        <v>1</v>
      </c>
      <c r="J577" s="4">
        <v>40302</v>
      </c>
      <c r="K577" s="4">
        <v>40302</v>
      </c>
      <c r="L577" s="5">
        <v>0.52083333333333337</v>
      </c>
      <c r="M577" s="5">
        <v>0.54166666666666663</v>
      </c>
      <c r="N577">
        <v>55.54081</v>
      </c>
      <c r="O577">
        <v>13.95609</v>
      </c>
      <c r="P577">
        <v>434125</v>
      </c>
      <c r="Q577">
        <v>6155470</v>
      </c>
      <c r="R577" t="s">
        <v>490</v>
      </c>
      <c r="S577">
        <v>1500</v>
      </c>
      <c r="T577" t="s">
        <v>507</v>
      </c>
      <c r="U577" t="s">
        <v>508</v>
      </c>
      <c r="V577" t="s">
        <v>504</v>
      </c>
      <c r="W577" t="s">
        <v>494</v>
      </c>
      <c r="X577" t="s">
        <v>494</v>
      </c>
      <c r="Y577" t="s">
        <v>526</v>
      </c>
      <c r="Z577">
        <v>2</v>
      </c>
      <c r="AA577">
        <v>2</v>
      </c>
      <c r="AD577" t="s">
        <v>527</v>
      </c>
      <c r="AE577" t="s">
        <v>42</v>
      </c>
      <c r="AF577" t="s">
        <v>496</v>
      </c>
      <c r="AG577" t="b">
        <v>0</v>
      </c>
      <c r="AH577" t="b">
        <v>0</v>
      </c>
      <c r="AI577" t="b">
        <v>0</v>
      </c>
      <c r="AK577" t="s">
        <v>497</v>
      </c>
      <c r="AL577" t="b">
        <v>0</v>
      </c>
      <c r="AM577" t="b">
        <v>0</v>
      </c>
    </row>
    <row r="578" spans="1:39">
      <c r="A578" t="s">
        <v>1358</v>
      </c>
      <c r="B578" t="b">
        <v>1</v>
      </c>
      <c r="C578">
        <v>103036</v>
      </c>
      <c r="D578" t="s">
        <v>324</v>
      </c>
      <c r="E578" t="s">
        <v>325</v>
      </c>
      <c r="F578" t="s">
        <v>488</v>
      </c>
      <c r="G578" t="s">
        <v>489</v>
      </c>
      <c r="H578" t="s">
        <v>46</v>
      </c>
      <c r="I578">
        <v>1</v>
      </c>
      <c r="J578" s="4">
        <v>40607</v>
      </c>
      <c r="K578" s="4">
        <v>40607</v>
      </c>
      <c r="L578" s="5">
        <v>0.58680555555555558</v>
      </c>
      <c r="M578" s="5">
        <v>0.59722222222222221</v>
      </c>
      <c r="N578">
        <v>55.547759999999997</v>
      </c>
      <c r="O578">
        <v>13.86754</v>
      </c>
      <c r="P578">
        <v>428550</v>
      </c>
      <c r="Q578">
        <v>6156331</v>
      </c>
      <c r="R578" t="s">
        <v>490</v>
      </c>
      <c r="S578">
        <v>627</v>
      </c>
      <c r="T578" t="s">
        <v>541</v>
      </c>
      <c r="U578" t="s">
        <v>525</v>
      </c>
      <c r="V578" t="s">
        <v>504</v>
      </c>
      <c r="W578" t="s">
        <v>494</v>
      </c>
      <c r="X578" t="s">
        <v>494</v>
      </c>
      <c r="Y578" t="s">
        <v>1359</v>
      </c>
      <c r="Z578">
        <v>4</v>
      </c>
      <c r="AA578">
        <v>4</v>
      </c>
      <c r="AC578" t="s">
        <v>512</v>
      </c>
      <c r="AD578" t="s">
        <v>527</v>
      </c>
      <c r="AE578" t="s">
        <v>51</v>
      </c>
      <c r="AF578" t="s">
        <v>496</v>
      </c>
      <c r="AG578" t="b">
        <v>0</v>
      </c>
      <c r="AH578" t="b">
        <v>0</v>
      </c>
      <c r="AI578" t="b">
        <v>0</v>
      </c>
      <c r="AK578" t="s">
        <v>497</v>
      </c>
      <c r="AL578" t="b">
        <v>0</v>
      </c>
      <c r="AM578" t="b">
        <v>0</v>
      </c>
    </row>
    <row r="579" spans="1:39">
      <c r="A579" t="s">
        <v>1360</v>
      </c>
      <c r="B579" t="b">
        <v>1</v>
      </c>
      <c r="C579">
        <v>102626</v>
      </c>
      <c r="D579" t="s">
        <v>318</v>
      </c>
      <c r="E579" t="s">
        <v>319</v>
      </c>
      <c r="F579" t="s">
        <v>488</v>
      </c>
      <c r="G579" t="s">
        <v>489</v>
      </c>
      <c r="H579" t="s">
        <v>46</v>
      </c>
      <c r="I579">
        <v>1</v>
      </c>
      <c r="J579" s="4">
        <v>41116</v>
      </c>
      <c r="K579" s="4">
        <v>41116</v>
      </c>
      <c r="L579" s="5">
        <v>0.75694444444444442</v>
      </c>
      <c r="M579" s="5">
        <v>0.83333333333333337</v>
      </c>
      <c r="N579">
        <v>55.555309999999999</v>
      </c>
      <c r="O579">
        <v>13.8569</v>
      </c>
      <c r="P579">
        <v>427893</v>
      </c>
      <c r="Q579">
        <v>6157182</v>
      </c>
      <c r="R579" t="s">
        <v>490</v>
      </c>
      <c r="S579">
        <v>140</v>
      </c>
      <c r="T579" t="s">
        <v>491</v>
      </c>
      <c r="U579" t="s">
        <v>492</v>
      </c>
      <c r="V579" t="s">
        <v>493</v>
      </c>
      <c r="W579" t="s">
        <v>494</v>
      </c>
      <c r="X579" t="s">
        <v>494</v>
      </c>
      <c r="Y579" t="s">
        <v>509</v>
      </c>
      <c r="Z579">
        <v>2</v>
      </c>
      <c r="AA579">
        <v>2</v>
      </c>
      <c r="AD579" t="s">
        <v>1361</v>
      </c>
      <c r="AE579" t="s">
        <v>538</v>
      </c>
      <c r="AF579" t="s">
        <v>496</v>
      </c>
      <c r="AG579" t="b">
        <v>0</v>
      </c>
      <c r="AH579" t="b">
        <v>0</v>
      </c>
      <c r="AI579" t="b">
        <v>0</v>
      </c>
      <c r="AK579" t="s">
        <v>497</v>
      </c>
      <c r="AL579" t="b">
        <v>0</v>
      </c>
      <c r="AM579" t="b">
        <v>0</v>
      </c>
    </row>
    <row r="580" spans="1:39">
      <c r="A580" t="s">
        <v>1362</v>
      </c>
      <c r="B580" t="b">
        <v>1</v>
      </c>
      <c r="C580">
        <v>103055</v>
      </c>
      <c r="D580" t="s">
        <v>413</v>
      </c>
      <c r="E580" t="s">
        <v>414</v>
      </c>
      <c r="F580" t="s">
        <v>488</v>
      </c>
      <c r="G580" t="s">
        <v>489</v>
      </c>
      <c r="H580" t="s">
        <v>41</v>
      </c>
      <c r="I580">
        <v>1</v>
      </c>
      <c r="J580" s="4">
        <v>40979</v>
      </c>
      <c r="K580" s="4">
        <v>40979</v>
      </c>
      <c r="L580" s="5">
        <v>0.3263888888888889</v>
      </c>
      <c r="M580" s="5">
        <v>0.3611111111111111</v>
      </c>
      <c r="N580">
        <v>55.547759999999997</v>
      </c>
      <c r="O580">
        <v>13.86754</v>
      </c>
      <c r="P580">
        <v>428550</v>
      </c>
      <c r="Q580">
        <v>6156331</v>
      </c>
      <c r="R580" t="s">
        <v>490</v>
      </c>
      <c r="S580">
        <v>627</v>
      </c>
      <c r="T580" t="s">
        <v>541</v>
      </c>
      <c r="U580" t="s">
        <v>525</v>
      </c>
      <c r="V580" t="s">
        <v>504</v>
      </c>
      <c r="W580" t="s">
        <v>494</v>
      </c>
      <c r="X580" t="s">
        <v>494</v>
      </c>
      <c r="Y580" t="s">
        <v>1363</v>
      </c>
      <c r="Z580">
        <v>4</v>
      </c>
      <c r="AA580">
        <v>4</v>
      </c>
      <c r="AE580" t="s">
        <v>42</v>
      </c>
      <c r="AF580" t="s">
        <v>496</v>
      </c>
      <c r="AG580" t="b">
        <v>0</v>
      </c>
      <c r="AH580" t="b">
        <v>0</v>
      </c>
      <c r="AI580" t="b">
        <v>0</v>
      </c>
      <c r="AK580" t="s">
        <v>497</v>
      </c>
      <c r="AL580" t="b">
        <v>0</v>
      </c>
      <c r="AM580" t="b">
        <v>0</v>
      </c>
    </row>
    <row r="581" spans="1:39">
      <c r="A581" t="s">
        <v>1364</v>
      </c>
      <c r="B581" t="b">
        <v>1</v>
      </c>
      <c r="C581">
        <v>103006</v>
      </c>
      <c r="D581" t="s">
        <v>342</v>
      </c>
      <c r="E581" t="s">
        <v>343</v>
      </c>
      <c r="F581" t="s">
        <v>488</v>
      </c>
      <c r="G581" t="s">
        <v>489</v>
      </c>
      <c r="H581" t="s">
        <v>41</v>
      </c>
      <c r="I581">
        <v>1</v>
      </c>
      <c r="J581" s="4">
        <v>41078</v>
      </c>
      <c r="K581" s="4">
        <v>41078</v>
      </c>
      <c r="L581" s="5">
        <v>0.22222222222222221</v>
      </c>
      <c r="M581" s="5">
        <v>0.22222222222222221</v>
      </c>
      <c r="N581">
        <v>55.54081</v>
      </c>
      <c r="O581">
        <v>13.95609</v>
      </c>
      <c r="P581">
        <v>434125</v>
      </c>
      <c r="Q581">
        <v>6155470</v>
      </c>
      <c r="R581" t="s">
        <v>490</v>
      </c>
      <c r="S581">
        <v>1500</v>
      </c>
      <c r="T581" t="s">
        <v>507</v>
      </c>
      <c r="U581" t="s">
        <v>508</v>
      </c>
      <c r="V581" t="s">
        <v>504</v>
      </c>
      <c r="W581" t="s">
        <v>494</v>
      </c>
      <c r="X581" t="s">
        <v>494</v>
      </c>
      <c r="Y581" t="s">
        <v>1020</v>
      </c>
      <c r="Z581">
        <v>1</v>
      </c>
      <c r="AA581">
        <v>1</v>
      </c>
      <c r="AD581" t="s">
        <v>510</v>
      </c>
      <c r="AE581" t="s">
        <v>57</v>
      </c>
      <c r="AF581" t="s">
        <v>496</v>
      </c>
      <c r="AG581" t="b">
        <v>0</v>
      </c>
      <c r="AH581" t="b">
        <v>0</v>
      </c>
      <c r="AI581" t="b">
        <v>0</v>
      </c>
      <c r="AK581" t="s">
        <v>497</v>
      </c>
      <c r="AL581" t="b">
        <v>0</v>
      </c>
      <c r="AM581" t="b">
        <v>0</v>
      </c>
    </row>
    <row r="582" spans="1:39">
      <c r="A582" t="s">
        <v>1365</v>
      </c>
      <c r="B582" t="b">
        <v>1</v>
      </c>
      <c r="C582">
        <v>102987</v>
      </c>
      <c r="D582" t="s">
        <v>388</v>
      </c>
      <c r="E582" t="s">
        <v>389</v>
      </c>
      <c r="F582" t="s">
        <v>488</v>
      </c>
      <c r="G582" t="s">
        <v>489</v>
      </c>
      <c r="H582" t="s">
        <v>41</v>
      </c>
      <c r="I582">
        <v>1</v>
      </c>
      <c r="J582" s="4">
        <v>41029</v>
      </c>
      <c r="K582" s="4">
        <v>41029</v>
      </c>
      <c r="L582" s="5">
        <v>0.54513888888888884</v>
      </c>
      <c r="M582" s="5">
        <v>0.59027777777777779</v>
      </c>
      <c r="N582">
        <v>55.530740000000002</v>
      </c>
      <c r="O582">
        <v>13.879630000000001</v>
      </c>
      <c r="P582">
        <v>429282</v>
      </c>
      <c r="Q582">
        <v>6154424</v>
      </c>
      <c r="R582" t="s">
        <v>490</v>
      </c>
      <c r="S582">
        <v>310</v>
      </c>
      <c r="T582" t="s">
        <v>499</v>
      </c>
      <c r="U582" t="s">
        <v>492</v>
      </c>
      <c r="V582" t="s">
        <v>493</v>
      </c>
      <c r="W582" t="s">
        <v>494</v>
      </c>
      <c r="X582" t="s">
        <v>494</v>
      </c>
      <c r="Y582" t="s">
        <v>685</v>
      </c>
      <c r="Z582">
        <v>2</v>
      </c>
      <c r="AA582">
        <v>2</v>
      </c>
      <c r="AE582" t="s">
        <v>538</v>
      </c>
      <c r="AF582" t="s">
        <v>496</v>
      </c>
      <c r="AG582" t="b">
        <v>0</v>
      </c>
      <c r="AH582" t="b">
        <v>0</v>
      </c>
      <c r="AI582" t="b">
        <v>0</v>
      </c>
      <c r="AK582" t="s">
        <v>497</v>
      </c>
      <c r="AL582" t="b">
        <v>0</v>
      </c>
      <c r="AM582" t="b">
        <v>0</v>
      </c>
    </row>
    <row r="583" spans="1:39">
      <c r="A583" t="s">
        <v>1366</v>
      </c>
      <c r="B583" t="b">
        <v>1</v>
      </c>
      <c r="C583">
        <v>102999</v>
      </c>
      <c r="D583" t="s">
        <v>374</v>
      </c>
      <c r="E583" t="s">
        <v>375</v>
      </c>
      <c r="F583" t="s">
        <v>488</v>
      </c>
      <c r="G583" t="s">
        <v>489</v>
      </c>
      <c r="H583" t="s">
        <v>41</v>
      </c>
      <c r="I583">
        <v>1</v>
      </c>
      <c r="J583" s="4">
        <v>41029</v>
      </c>
      <c r="K583" s="4">
        <v>41029</v>
      </c>
      <c r="L583" s="5">
        <v>0.54513888888888884</v>
      </c>
      <c r="M583" s="5">
        <v>0.59027777777777779</v>
      </c>
      <c r="N583">
        <v>55.530740000000002</v>
      </c>
      <c r="O583">
        <v>13.879630000000001</v>
      </c>
      <c r="P583">
        <v>429282</v>
      </c>
      <c r="Q583">
        <v>6154424</v>
      </c>
      <c r="R583" t="s">
        <v>490</v>
      </c>
      <c r="S583">
        <v>310</v>
      </c>
      <c r="T583" t="s">
        <v>499</v>
      </c>
      <c r="U583" t="s">
        <v>492</v>
      </c>
      <c r="V583" t="s">
        <v>493</v>
      </c>
      <c r="W583" t="s">
        <v>494</v>
      </c>
      <c r="X583" t="s">
        <v>494</v>
      </c>
      <c r="Y583" t="s">
        <v>1367</v>
      </c>
      <c r="Z583">
        <v>1</v>
      </c>
      <c r="AA583">
        <v>1</v>
      </c>
      <c r="AE583" t="s">
        <v>42</v>
      </c>
      <c r="AF583" t="s">
        <v>496</v>
      </c>
      <c r="AG583" t="b">
        <v>0</v>
      </c>
      <c r="AH583" t="b">
        <v>0</v>
      </c>
      <c r="AI583" t="b">
        <v>0</v>
      </c>
      <c r="AK583" t="s">
        <v>497</v>
      </c>
      <c r="AL583" t="b">
        <v>0</v>
      </c>
      <c r="AM583" t="b">
        <v>0</v>
      </c>
    </row>
    <row r="584" spans="1:39">
      <c r="A584" t="s">
        <v>1368</v>
      </c>
      <c r="B584" t="b">
        <v>1</v>
      </c>
      <c r="C584">
        <v>100049</v>
      </c>
      <c r="D584" t="s">
        <v>295</v>
      </c>
      <c r="E584" t="s">
        <v>296</v>
      </c>
      <c r="F584" t="s">
        <v>488</v>
      </c>
      <c r="G584" t="s">
        <v>489</v>
      </c>
      <c r="H584" t="s">
        <v>46</v>
      </c>
      <c r="I584">
        <v>1</v>
      </c>
      <c r="J584" s="4">
        <v>39852</v>
      </c>
      <c r="K584" s="4">
        <v>39852</v>
      </c>
      <c r="L584" s="5">
        <v>0.3611111111111111</v>
      </c>
      <c r="M584" s="5">
        <v>0.43055555555555558</v>
      </c>
      <c r="N584">
        <v>55.525750000000002</v>
      </c>
      <c r="O584">
        <v>13.88649</v>
      </c>
      <c r="P584">
        <v>429706</v>
      </c>
      <c r="Q584">
        <v>6153862</v>
      </c>
      <c r="R584" t="s">
        <v>490</v>
      </c>
      <c r="S584">
        <v>311</v>
      </c>
      <c r="T584" t="s">
        <v>515</v>
      </c>
      <c r="U584" t="s">
        <v>516</v>
      </c>
      <c r="V584" t="s">
        <v>493</v>
      </c>
      <c r="W584" t="s">
        <v>494</v>
      </c>
      <c r="X584" t="s">
        <v>494</v>
      </c>
      <c r="Y584" t="s">
        <v>1369</v>
      </c>
      <c r="Z584">
        <v>1</v>
      </c>
      <c r="AA584">
        <v>1</v>
      </c>
      <c r="AE584" t="s">
        <v>42</v>
      </c>
      <c r="AF584" t="s">
        <v>496</v>
      </c>
      <c r="AG584" t="b">
        <v>0</v>
      </c>
      <c r="AH584" t="b">
        <v>0</v>
      </c>
      <c r="AI584" t="b">
        <v>0</v>
      </c>
      <c r="AK584" t="s">
        <v>497</v>
      </c>
      <c r="AL584" t="b">
        <v>0</v>
      </c>
      <c r="AM584" t="b">
        <v>0</v>
      </c>
    </row>
    <row r="585" spans="1:39">
      <c r="A585" t="s">
        <v>1370</v>
      </c>
      <c r="B585" t="b">
        <v>1</v>
      </c>
      <c r="C585">
        <v>103055</v>
      </c>
      <c r="D585" t="s">
        <v>413</v>
      </c>
      <c r="E585" t="s">
        <v>414</v>
      </c>
      <c r="F585" t="s">
        <v>488</v>
      </c>
      <c r="G585" t="s">
        <v>489</v>
      </c>
      <c r="H585" t="s">
        <v>41</v>
      </c>
      <c r="I585">
        <v>1</v>
      </c>
      <c r="J585" s="4">
        <v>39231</v>
      </c>
      <c r="K585" s="4">
        <v>39231</v>
      </c>
      <c r="L585" s="5">
        <v>0.64930555555555558</v>
      </c>
      <c r="M585" s="5">
        <v>0.6875</v>
      </c>
      <c r="N585">
        <v>55.555309999999999</v>
      </c>
      <c r="O585">
        <v>13.8569</v>
      </c>
      <c r="P585">
        <v>427893</v>
      </c>
      <c r="Q585">
        <v>6157182</v>
      </c>
      <c r="R585" t="s">
        <v>490</v>
      </c>
      <c r="S585">
        <v>140</v>
      </c>
      <c r="T585" t="s">
        <v>491</v>
      </c>
      <c r="U585" t="s">
        <v>492</v>
      </c>
      <c r="V585" t="s">
        <v>493</v>
      </c>
      <c r="W585" t="s">
        <v>494</v>
      </c>
      <c r="X585" t="s">
        <v>494</v>
      </c>
      <c r="Y585" t="s">
        <v>584</v>
      </c>
      <c r="Z585">
        <v>1</v>
      </c>
      <c r="AA585">
        <v>1</v>
      </c>
      <c r="AC585" t="s">
        <v>512</v>
      </c>
      <c r="AD585" t="s">
        <v>510</v>
      </c>
      <c r="AE585" t="s">
        <v>42</v>
      </c>
      <c r="AF585" t="s">
        <v>496</v>
      </c>
      <c r="AG585" t="b">
        <v>0</v>
      </c>
      <c r="AH585" t="b">
        <v>0</v>
      </c>
      <c r="AI585" t="b">
        <v>0</v>
      </c>
      <c r="AK585" t="s">
        <v>497</v>
      </c>
      <c r="AL585" t="b">
        <v>0</v>
      </c>
      <c r="AM585" t="b">
        <v>0</v>
      </c>
    </row>
    <row r="586" spans="1:39">
      <c r="A586" t="s">
        <v>1371</v>
      </c>
      <c r="B586" t="b">
        <v>1</v>
      </c>
      <c r="C586">
        <v>100048</v>
      </c>
      <c r="D586" t="s">
        <v>304</v>
      </c>
      <c r="E586" t="s">
        <v>305</v>
      </c>
      <c r="F586" t="s">
        <v>488</v>
      </c>
      <c r="G586" t="s">
        <v>489</v>
      </c>
      <c r="H586" t="s">
        <v>41</v>
      </c>
      <c r="I586">
        <v>1</v>
      </c>
      <c r="J586" s="4">
        <v>39516</v>
      </c>
      <c r="K586" s="4">
        <v>39516</v>
      </c>
      <c r="L586" s="5">
        <v>0</v>
      </c>
      <c r="M586" s="5">
        <v>0</v>
      </c>
      <c r="N586">
        <v>55.547759999999997</v>
      </c>
      <c r="O586">
        <v>13.86754</v>
      </c>
      <c r="P586">
        <v>428550</v>
      </c>
      <c r="Q586">
        <v>6156331</v>
      </c>
      <c r="R586" t="s">
        <v>490</v>
      </c>
      <c r="S586">
        <v>627</v>
      </c>
      <c r="T586" t="s">
        <v>541</v>
      </c>
      <c r="U586" t="s">
        <v>525</v>
      </c>
      <c r="V586" t="s">
        <v>504</v>
      </c>
      <c r="W586" t="s">
        <v>494</v>
      </c>
      <c r="X586" t="s">
        <v>494</v>
      </c>
      <c r="Y586" t="s">
        <v>1074</v>
      </c>
      <c r="Z586">
        <v>1</v>
      </c>
      <c r="AA586">
        <v>1</v>
      </c>
      <c r="AE586" t="s">
        <v>42</v>
      </c>
      <c r="AF586" t="s">
        <v>496</v>
      </c>
      <c r="AG586" t="b">
        <v>0</v>
      </c>
      <c r="AH586" t="b">
        <v>0</v>
      </c>
      <c r="AI586" t="b">
        <v>0</v>
      </c>
      <c r="AK586" t="s">
        <v>497</v>
      </c>
      <c r="AL586" t="b">
        <v>0</v>
      </c>
      <c r="AM586" t="b">
        <v>0</v>
      </c>
    </row>
    <row r="587" spans="1:39">
      <c r="A587" t="s">
        <v>1372</v>
      </c>
      <c r="B587" t="b">
        <v>1</v>
      </c>
      <c r="C587">
        <v>103055</v>
      </c>
      <c r="D587" t="s">
        <v>413</v>
      </c>
      <c r="E587" t="s">
        <v>414</v>
      </c>
      <c r="F587" t="s">
        <v>488</v>
      </c>
      <c r="G587" t="s">
        <v>489</v>
      </c>
      <c r="H587" t="s">
        <v>41</v>
      </c>
      <c r="I587">
        <v>1</v>
      </c>
      <c r="J587" s="4">
        <v>39605</v>
      </c>
      <c r="K587" s="4">
        <v>39605</v>
      </c>
      <c r="L587" s="5">
        <v>0.64583333333333337</v>
      </c>
      <c r="M587" s="5">
        <v>0.69097222222222221</v>
      </c>
      <c r="N587">
        <v>55.555309999999999</v>
      </c>
      <c r="O587">
        <v>13.8569</v>
      </c>
      <c r="P587">
        <v>427893</v>
      </c>
      <c r="Q587">
        <v>6157182</v>
      </c>
      <c r="R587" t="s">
        <v>490</v>
      </c>
      <c r="S587">
        <v>140</v>
      </c>
      <c r="T587" t="s">
        <v>491</v>
      </c>
      <c r="U587" t="s">
        <v>492</v>
      </c>
      <c r="V587" t="s">
        <v>493</v>
      </c>
      <c r="W587" t="s">
        <v>494</v>
      </c>
      <c r="X587" t="s">
        <v>494</v>
      </c>
      <c r="Y587" t="s">
        <v>584</v>
      </c>
      <c r="Z587">
        <v>1</v>
      </c>
      <c r="AA587">
        <v>1</v>
      </c>
      <c r="AC587" t="s">
        <v>512</v>
      </c>
      <c r="AD587" t="s">
        <v>510</v>
      </c>
      <c r="AE587" t="s">
        <v>42</v>
      </c>
      <c r="AF587" t="s">
        <v>496</v>
      </c>
      <c r="AG587" t="b">
        <v>0</v>
      </c>
      <c r="AH587" t="b">
        <v>0</v>
      </c>
      <c r="AI587" t="b">
        <v>0</v>
      </c>
      <c r="AK587" t="s">
        <v>497</v>
      </c>
      <c r="AL587" t="b">
        <v>0</v>
      </c>
      <c r="AM587" t="b">
        <v>0</v>
      </c>
    </row>
    <row r="588" spans="1:39">
      <c r="A588" t="s">
        <v>1373</v>
      </c>
      <c r="B588" t="b">
        <v>1</v>
      </c>
      <c r="C588">
        <v>102950</v>
      </c>
      <c r="D588" t="s">
        <v>150</v>
      </c>
      <c r="E588" t="s">
        <v>151</v>
      </c>
      <c r="F588" t="s">
        <v>488</v>
      </c>
      <c r="G588" t="s">
        <v>489</v>
      </c>
      <c r="H588" t="s">
        <v>41</v>
      </c>
      <c r="I588">
        <v>1</v>
      </c>
      <c r="J588" s="4">
        <v>42158</v>
      </c>
      <c r="K588" s="4">
        <v>42158</v>
      </c>
      <c r="L588" s="5">
        <v>0.75</v>
      </c>
      <c r="M588" s="5">
        <v>0.75</v>
      </c>
      <c r="N588">
        <v>55.562449999999998</v>
      </c>
      <c r="O588">
        <v>13.921720000000001</v>
      </c>
      <c r="P588">
        <v>431994</v>
      </c>
      <c r="Q588">
        <v>6157911</v>
      </c>
      <c r="R588" t="s">
        <v>490</v>
      </c>
      <c r="S588">
        <v>100</v>
      </c>
      <c r="T588" t="s">
        <v>675</v>
      </c>
      <c r="U588" t="s">
        <v>508</v>
      </c>
      <c r="V588" t="s">
        <v>504</v>
      </c>
      <c r="W588" t="s">
        <v>494</v>
      </c>
      <c r="X588" t="s">
        <v>494</v>
      </c>
      <c r="Y588" t="s">
        <v>676</v>
      </c>
      <c r="Z588">
        <v>1</v>
      </c>
      <c r="AA588">
        <v>1</v>
      </c>
      <c r="AE588" t="s">
        <v>538</v>
      </c>
      <c r="AF588" t="s">
        <v>496</v>
      </c>
      <c r="AG588" t="b">
        <v>0</v>
      </c>
      <c r="AH588" t="b">
        <v>0</v>
      </c>
      <c r="AI588" t="b">
        <v>0</v>
      </c>
      <c r="AK588" t="s">
        <v>497</v>
      </c>
      <c r="AL588" t="b">
        <v>0</v>
      </c>
      <c r="AM588" t="b">
        <v>0</v>
      </c>
    </row>
    <row r="589" spans="1:39">
      <c r="A589" t="s">
        <v>1374</v>
      </c>
      <c r="B589" t="b">
        <v>1</v>
      </c>
      <c r="C589">
        <v>102977</v>
      </c>
      <c r="D589" t="s">
        <v>47</v>
      </c>
      <c r="E589" t="s">
        <v>48</v>
      </c>
      <c r="F589" t="s">
        <v>488</v>
      </c>
      <c r="G589" t="s">
        <v>489</v>
      </c>
      <c r="H589" t="s">
        <v>46</v>
      </c>
      <c r="I589">
        <v>1</v>
      </c>
      <c r="J589" s="4">
        <v>42153</v>
      </c>
      <c r="K589" s="4">
        <v>42153</v>
      </c>
      <c r="L589" s="5">
        <v>0.5625</v>
      </c>
      <c r="M589" s="5">
        <v>0.70833333333333337</v>
      </c>
      <c r="N589">
        <v>55.54739</v>
      </c>
      <c r="O589">
        <v>13.86816</v>
      </c>
      <c r="P589">
        <v>428589</v>
      </c>
      <c r="Q589">
        <v>6156289</v>
      </c>
      <c r="R589" t="s">
        <v>490</v>
      </c>
      <c r="S589">
        <v>500</v>
      </c>
      <c r="T589" t="s">
        <v>1375</v>
      </c>
      <c r="U589" t="s">
        <v>525</v>
      </c>
      <c r="V589" t="s">
        <v>504</v>
      </c>
      <c r="W589" t="s">
        <v>494</v>
      </c>
      <c r="X589" t="s">
        <v>494</v>
      </c>
      <c r="Y589" t="s">
        <v>1376</v>
      </c>
      <c r="Z589">
        <v>1</v>
      </c>
      <c r="AA589">
        <v>1</v>
      </c>
      <c r="AE589" t="s">
        <v>42</v>
      </c>
      <c r="AF589" t="s">
        <v>496</v>
      </c>
      <c r="AG589" t="b">
        <v>0</v>
      </c>
      <c r="AH589" t="b">
        <v>0</v>
      </c>
      <c r="AI589" t="b">
        <v>0</v>
      </c>
      <c r="AK589" t="s">
        <v>497</v>
      </c>
      <c r="AL589" t="b">
        <v>0</v>
      </c>
      <c r="AM589" t="b">
        <v>0</v>
      </c>
    </row>
    <row r="590" spans="1:39">
      <c r="A590" t="s">
        <v>1377</v>
      </c>
      <c r="B590" t="b">
        <v>1</v>
      </c>
      <c r="C590">
        <v>103012</v>
      </c>
      <c r="D590" t="s">
        <v>358</v>
      </c>
      <c r="E590" t="s">
        <v>359</v>
      </c>
      <c r="F590" t="s">
        <v>488</v>
      </c>
      <c r="G590" t="s">
        <v>489</v>
      </c>
      <c r="H590" t="s">
        <v>41</v>
      </c>
      <c r="I590">
        <v>1</v>
      </c>
      <c r="J590" s="4">
        <v>42132</v>
      </c>
      <c r="K590" s="4">
        <v>42132</v>
      </c>
      <c r="N590">
        <v>55.538229999999999</v>
      </c>
      <c r="O590">
        <v>13.96401</v>
      </c>
      <c r="P590">
        <v>434621</v>
      </c>
      <c r="Q590">
        <v>6155176</v>
      </c>
      <c r="R590" t="s">
        <v>490</v>
      </c>
      <c r="S590">
        <v>400</v>
      </c>
      <c r="T590" t="s">
        <v>1378</v>
      </c>
      <c r="U590" t="s">
        <v>508</v>
      </c>
      <c r="V590" t="s">
        <v>504</v>
      </c>
      <c r="W590" t="s">
        <v>494</v>
      </c>
      <c r="X590" t="s">
        <v>494</v>
      </c>
      <c r="Y590" t="s">
        <v>495</v>
      </c>
      <c r="Z590">
        <v>1</v>
      </c>
      <c r="AA590">
        <v>1</v>
      </c>
      <c r="AC590" t="s">
        <v>512</v>
      </c>
      <c r="AD590" t="s">
        <v>510</v>
      </c>
      <c r="AE590" t="s">
        <v>42</v>
      </c>
      <c r="AF590" t="s">
        <v>496</v>
      </c>
      <c r="AG590" t="b">
        <v>0</v>
      </c>
      <c r="AH590" t="b">
        <v>0</v>
      </c>
      <c r="AI590" t="b">
        <v>0</v>
      </c>
      <c r="AK590" t="s">
        <v>497</v>
      </c>
      <c r="AL590" t="b">
        <v>0</v>
      </c>
      <c r="AM590" t="b">
        <v>0</v>
      </c>
    </row>
    <row r="591" spans="1:39">
      <c r="A591" t="s">
        <v>1379</v>
      </c>
      <c r="B591" t="b">
        <v>1</v>
      </c>
      <c r="C591">
        <v>100129</v>
      </c>
      <c r="D591" t="s">
        <v>404</v>
      </c>
      <c r="E591" t="s">
        <v>405</v>
      </c>
      <c r="F591" t="s">
        <v>488</v>
      </c>
      <c r="G591" t="s">
        <v>489</v>
      </c>
      <c r="H591" t="s">
        <v>81</v>
      </c>
      <c r="I591">
        <v>1</v>
      </c>
      <c r="J591" s="4">
        <v>41815</v>
      </c>
      <c r="K591" s="4">
        <v>41815</v>
      </c>
      <c r="L591" s="5">
        <v>0.47916666666666669</v>
      </c>
      <c r="M591" s="5">
        <v>0.47916666666666669</v>
      </c>
      <c r="N591">
        <v>55.558450000000001</v>
      </c>
      <c r="O591">
        <v>13.92013</v>
      </c>
      <c r="P591">
        <v>431887</v>
      </c>
      <c r="Q591">
        <v>6157468</v>
      </c>
      <c r="R591" t="s">
        <v>490</v>
      </c>
      <c r="S591">
        <v>593</v>
      </c>
      <c r="T591" t="s">
        <v>698</v>
      </c>
      <c r="U591" t="s">
        <v>508</v>
      </c>
      <c r="V591" t="s">
        <v>504</v>
      </c>
      <c r="W591" t="s">
        <v>494</v>
      </c>
      <c r="X591" t="s">
        <v>494</v>
      </c>
      <c r="Y591" t="s">
        <v>1380</v>
      </c>
      <c r="Z591">
        <v>1</v>
      </c>
      <c r="AA591">
        <v>1</v>
      </c>
      <c r="AD591" t="s">
        <v>510</v>
      </c>
      <c r="AE591" t="s">
        <v>42</v>
      </c>
      <c r="AF591" t="s">
        <v>496</v>
      </c>
      <c r="AG591" t="b">
        <v>0</v>
      </c>
      <c r="AH591" t="b">
        <v>0</v>
      </c>
      <c r="AI591" t="b">
        <v>0</v>
      </c>
      <c r="AK591" t="s">
        <v>497</v>
      </c>
      <c r="AL591" t="b">
        <v>0</v>
      </c>
      <c r="AM591" t="b">
        <v>0</v>
      </c>
    </row>
    <row r="592" spans="1:39">
      <c r="A592" t="s">
        <v>1381</v>
      </c>
      <c r="B592" t="b">
        <v>1</v>
      </c>
      <c r="C592">
        <v>102626</v>
      </c>
      <c r="D592" t="s">
        <v>318</v>
      </c>
      <c r="E592" t="s">
        <v>319</v>
      </c>
      <c r="F592" t="s">
        <v>488</v>
      </c>
      <c r="G592" t="s">
        <v>489</v>
      </c>
      <c r="H592" t="s">
        <v>46</v>
      </c>
      <c r="I592">
        <v>1</v>
      </c>
      <c r="J592" s="4">
        <v>41773</v>
      </c>
      <c r="K592" s="4">
        <v>41773</v>
      </c>
      <c r="L592" s="5">
        <v>0</v>
      </c>
      <c r="M592" s="5">
        <v>0</v>
      </c>
      <c r="N592">
        <v>55.555309999999999</v>
      </c>
      <c r="O592">
        <v>13.8569</v>
      </c>
      <c r="P592">
        <v>427893</v>
      </c>
      <c r="Q592">
        <v>6157182</v>
      </c>
      <c r="R592" t="s">
        <v>490</v>
      </c>
      <c r="S592">
        <v>140</v>
      </c>
      <c r="T592" t="s">
        <v>491</v>
      </c>
      <c r="U592" t="s">
        <v>492</v>
      </c>
      <c r="V592" t="s">
        <v>493</v>
      </c>
      <c r="W592" t="s">
        <v>494</v>
      </c>
      <c r="X592" t="s">
        <v>494</v>
      </c>
      <c r="Y592" t="s">
        <v>495</v>
      </c>
      <c r="Z592">
        <v>1</v>
      </c>
      <c r="AA592">
        <v>1</v>
      </c>
      <c r="AD592" t="s">
        <v>510</v>
      </c>
      <c r="AE592" t="s">
        <v>42</v>
      </c>
      <c r="AF592" t="s">
        <v>496</v>
      </c>
      <c r="AG592" t="b">
        <v>0</v>
      </c>
      <c r="AH592" t="b">
        <v>0</v>
      </c>
      <c r="AI592" t="b">
        <v>0</v>
      </c>
      <c r="AK592" t="s">
        <v>497</v>
      </c>
      <c r="AL592" t="b">
        <v>0</v>
      </c>
      <c r="AM592" t="b">
        <v>0</v>
      </c>
    </row>
    <row r="593" spans="1:39">
      <c r="A593" t="s">
        <v>1382</v>
      </c>
      <c r="B593" t="b">
        <v>1</v>
      </c>
      <c r="C593">
        <v>103036</v>
      </c>
      <c r="D593" t="s">
        <v>324</v>
      </c>
      <c r="E593" t="s">
        <v>325</v>
      </c>
      <c r="F593" t="s">
        <v>488</v>
      </c>
      <c r="G593" t="s">
        <v>489</v>
      </c>
      <c r="H593" t="s">
        <v>46</v>
      </c>
      <c r="I593">
        <v>1</v>
      </c>
      <c r="J593" s="4">
        <v>42097</v>
      </c>
      <c r="K593" s="4">
        <v>42097</v>
      </c>
      <c r="L593" s="5">
        <v>0.52083333333333337</v>
      </c>
      <c r="M593" s="5">
        <v>0.59375</v>
      </c>
      <c r="N593">
        <v>55.555770000000003</v>
      </c>
      <c r="O593">
        <v>13.88902</v>
      </c>
      <c r="P593">
        <v>429920</v>
      </c>
      <c r="Q593">
        <v>6157200</v>
      </c>
      <c r="R593" t="s">
        <v>490</v>
      </c>
      <c r="S593">
        <v>400</v>
      </c>
      <c r="T593" t="s">
        <v>1383</v>
      </c>
      <c r="U593" t="s">
        <v>532</v>
      </c>
      <c r="V593" t="s">
        <v>504</v>
      </c>
      <c r="W593" t="s">
        <v>494</v>
      </c>
      <c r="X593" t="s">
        <v>494</v>
      </c>
      <c r="Y593" t="s">
        <v>749</v>
      </c>
      <c r="Z593">
        <v>1</v>
      </c>
      <c r="AA593">
        <v>1</v>
      </c>
      <c r="AE593" t="s">
        <v>42</v>
      </c>
      <c r="AF593" t="s">
        <v>496</v>
      </c>
      <c r="AG593" t="b">
        <v>0</v>
      </c>
      <c r="AH593" t="b">
        <v>0</v>
      </c>
      <c r="AI593" t="b">
        <v>0</v>
      </c>
      <c r="AK593" t="s">
        <v>497</v>
      </c>
      <c r="AL593" t="b">
        <v>0</v>
      </c>
      <c r="AM593" t="b">
        <v>0</v>
      </c>
    </row>
    <row r="594" spans="1:39">
      <c r="A594" t="s">
        <v>1384</v>
      </c>
      <c r="B594" t="b">
        <v>1</v>
      </c>
      <c r="C594">
        <v>102993</v>
      </c>
      <c r="D594" t="s">
        <v>384</v>
      </c>
      <c r="E594" t="s">
        <v>385</v>
      </c>
      <c r="F594" t="s">
        <v>488</v>
      </c>
      <c r="G594" t="s">
        <v>489</v>
      </c>
      <c r="H594" t="s">
        <v>85</v>
      </c>
      <c r="I594">
        <v>1</v>
      </c>
      <c r="J594" s="4">
        <v>41782</v>
      </c>
      <c r="K594" s="4">
        <v>41782</v>
      </c>
      <c r="L594" s="5">
        <v>0</v>
      </c>
      <c r="M594" s="5">
        <v>0</v>
      </c>
      <c r="N594">
        <v>55.54081</v>
      </c>
      <c r="O594">
        <v>13.95609</v>
      </c>
      <c r="P594">
        <v>434125</v>
      </c>
      <c r="Q594">
        <v>6155470</v>
      </c>
      <c r="R594" t="s">
        <v>490</v>
      </c>
      <c r="S594">
        <v>1500</v>
      </c>
      <c r="T594" t="s">
        <v>507</v>
      </c>
      <c r="U594" t="s">
        <v>508</v>
      </c>
      <c r="V594" t="s">
        <v>504</v>
      </c>
      <c r="W594" t="s">
        <v>494</v>
      </c>
      <c r="X594" t="s">
        <v>494</v>
      </c>
      <c r="Y594" t="s">
        <v>1385</v>
      </c>
      <c r="Z594">
        <v>1</v>
      </c>
      <c r="AA594">
        <v>1</v>
      </c>
      <c r="AE594" t="s">
        <v>42</v>
      </c>
      <c r="AF594" t="s">
        <v>496</v>
      </c>
      <c r="AG594" t="b">
        <v>0</v>
      </c>
      <c r="AH594" t="b">
        <v>0</v>
      </c>
      <c r="AI594" t="b">
        <v>0</v>
      </c>
      <c r="AK594" t="s">
        <v>497</v>
      </c>
      <c r="AL594" t="b">
        <v>0</v>
      </c>
      <c r="AM594" t="b">
        <v>0</v>
      </c>
    </row>
    <row r="595" spans="1:39">
      <c r="A595" t="s">
        <v>1386</v>
      </c>
      <c r="B595" t="b">
        <v>1</v>
      </c>
      <c r="C595">
        <v>100049</v>
      </c>
      <c r="D595" t="s">
        <v>295</v>
      </c>
      <c r="E595" t="s">
        <v>296</v>
      </c>
      <c r="F595" t="s">
        <v>488</v>
      </c>
      <c r="G595" t="s">
        <v>489</v>
      </c>
      <c r="H595" t="s">
        <v>46</v>
      </c>
      <c r="I595">
        <v>1</v>
      </c>
      <c r="J595" s="4">
        <v>42813</v>
      </c>
      <c r="K595" s="4">
        <v>42813</v>
      </c>
      <c r="N595">
        <v>55.530740000000002</v>
      </c>
      <c r="O595">
        <v>13.879630000000001</v>
      </c>
      <c r="P595">
        <v>429282</v>
      </c>
      <c r="Q595">
        <v>6154424</v>
      </c>
      <c r="R595" t="s">
        <v>490</v>
      </c>
      <c r="S595">
        <v>310</v>
      </c>
      <c r="T595" t="s">
        <v>499</v>
      </c>
      <c r="U595" t="s">
        <v>492</v>
      </c>
      <c r="V595" t="s">
        <v>493</v>
      </c>
      <c r="W595" t="s">
        <v>494</v>
      </c>
      <c r="X595" t="s">
        <v>494</v>
      </c>
      <c r="Y595" t="s">
        <v>1387</v>
      </c>
      <c r="Z595">
        <v>1</v>
      </c>
      <c r="AA595">
        <v>1</v>
      </c>
      <c r="AE595" t="s">
        <v>42</v>
      </c>
      <c r="AF595" t="s">
        <v>496</v>
      </c>
      <c r="AG595" t="b">
        <v>0</v>
      </c>
      <c r="AH595" t="b">
        <v>0</v>
      </c>
      <c r="AI595" t="b">
        <v>0</v>
      </c>
      <c r="AK595" t="s">
        <v>497</v>
      </c>
      <c r="AL595" t="b">
        <v>0</v>
      </c>
      <c r="AM595" t="b">
        <v>0</v>
      </c>
    </row>
    <row r="596" spans="1:39">
      <c r="A596" t="s">
        <v>1388</v>
      </c>
      <c r="B596" t="b">
        <v>1</v>
      </c>
      <c r="C596">
        <v>100049</v>
      </c>
      <c r="D596" t="s">
        <v>295</v>
      </c>
      <c r="E596" t="s">
        <v>296</v>
      </c>
      <c r="F596" t="s">
        <v>488</v>
      </c>
      <c r="G596" t="s">
        <v>489</v>
      </c>
      <c r="H596" t="s">
        <v>46</v>
      </c>
      <c r="I596">
        <v>1</v>
      </c>
      <c r="J596" s="4">
        <v>43813</v>
      </c>
      <c r="K596" s="4">
        <v>43813</v>
      </c>
      <c r="L596" s="5">
        <v>0.44791666666666669</v>
      </c>
      <c r="M596" s="5">
        <v>0.5</v>
      </c>
      <c r="N596">
        <v>55.547759999999997</v>
      </c>
      <c r="O596">
        <v>13.86754</v>
      </c>
      <c r="P596">
        <v>428550</v>
      </c>
      <c r="Q596">
        <v>6156331</v>
      </c>
      <c r="R596" t="s">
        <v>490</v>
      </c>
      <c r="S596">
        <v>627</v>
      </c>
      <c r="T596" t="s">
        <v>541</v>
      </c>
      <c r="U596" t="s">
        <v>525</v>
      </c>
      <c r="V596" t="s">
        <v>504</v>
      </c>
      <c r="W596" t="s">
        <v>494</v>
      </c>
      <c r="X596" t="s">
        <v>494</v>
      </c>
      <c r="Y596" t="s">
        <v>1205</v>
      </c>
      <c r="Z596">
        <v>1</v>
      </c>
      <c r="AA596">
        <v>1</v>
      </c>
      <c r="AE596" t="s">
        <v>542</v>
      </c>
      <c r="AF596" t="s">
        <v>496</v>
      </c>
      <c r="AG596" t="b">
        <v>0</v>
      </c>
      <c r="AH596" t="b">
        <v>0</v>
      </c>
      <c r="AI596" t="b">
        <v>0</v>
      </c>
      <c r="AK596" t="s">
        <v>497</v>
      </c>
      <c r="AL596" t="b">
        <v>0</v>
      </c>
      <c r="AM596" t="b">
        <v>0</v>
      </c>
    </row>
    <row r="597" spans="1:39">
      <c r="A597" t="s">
        <v>1389</v>
      </c>
      <c r="B597" t="b">
        <v>1</v>
      </c>
      <c r="C597">
        <v>103012</v>
      </c>
      <c r="D597" t="s">
        <v>358</v>
      </c>
      <c r="E597" t="s">
        <v>359</v>
      </c>
      <c r="F597" t="s">
        <v>488</v>
      </c>
      <c r="G597" t="s">
        <v>489</v>
      </c>
      <c r="H597" t="s">
        <v>41</v>
      </c>
      <c r="I597">
        <v>1</v>
      </c>
      <c r="J597" s="4">
        <v>43631</v>
      </c>
      <c r="K597" s="4">
        <v>43631</v>
      </c>
      <c r="L597" s="5">
        <v>0.63541666666666663</v>
      </c>
      <c r="M597" s="5">
        <v>0.64583333333333337</v>
      </c>
      <c r="N597">
        <v>55.530740000000002</v>
      </c>
      <c r="O597">
        <v>13.879630000000001</v>
      </c>
      <c r="P597">
        <v>429282</v>
      </c>
      <c r="Q597">
        <v>6154424</v>
      </c>
      <c r="R597" t="s">
        <v>490</v>
      </c>
      <c r="S597">
        <v>310</v>
      </c>
      <c r="T597" t="s">
        <v>499</v>
      </c>
      <c r="U597" t="s">
        <v>492</v>
      </c>
      <c r="V597" t="s">
        <v>493</v>
      </c>
      <c r="W597" t="s">
        <v>494</v>
      </c>
      <c r="X597" t="s">
        <v>494</v>
      </c>
      <c r="Y597" t="s">
        <v>1390</v>
      </c>
      <c r="Z597">
        <v>1</v>
      </c>
      <c r="AA597">
        <v>1</v>
      </c>
      <c r="AE597" t="s">
        <v>42</v>
      </c>
      <c r="AF597" t="s">
        <v>496</v>
      </c>
      <c r="AG597" t="b">
        <v>0</v>
      </c>
      <c r="AH597" t="b">
        <v>0</v>
      </c>
      <c r="AI597" t="b">
        <v>0</v>
      </c>
      <c r="AK597" t="s">
        <v>497</v>
      </c>
      <c r="AL597" t="b">
        <v>0</v>
      </c>
      <c r="AM597" t="b">
        <v>0</v>
      </c>
    </row>
    <row r="598" spans="1:39">
      <c r="A598" t="s">
        <v>1391</v>
      </c>
      <c r="B598" t="b">
        <v>1</v>
      </c>
      <c r="C598">
        <v>103036</v>
      </c>
      <c r="D598" t="s">
        <v>324</v>
      </c>
      <c r="E598" t="s">
        <v>325</v>
      </c>
      <c r="F598" t="s">
        <v>488</v>
      </c>
      <c r="G598" t="s">
        <v>489</v>
      </c>
      <c r="H598" t="s">
        <v>46</v>
      </c>
      <c r="I598">
        <v>1</v>
      </c>
      <c r="J598" s="4">
        <v>43630</v>
      </c>
      <c r="K598" s="4">
        <v>43630</v>
      </c>
      <c r="L598" s="5">
        <v>0.65972222222222221</v>
      </c>
      <c r="M598" s="5">
        <v>0.6875</v>
      </c>
      <c r="N598">
        <v>55.530740000000002</v>
      </c>
      <c r="O598">
        <v>13.879630000000001</v>
      </c>
      <c r="P598">
        <v>429282</v>
      </c>
      <c r="Q598">
        <v>6154424</v>
      </c>
      <c r="R598" t="s">
        <v>490</v>
      </c>
      <c r="S598">
        <v>310</v>
      </c>
      <c r="T598" t="s">
        <v>499</v>
      </c>
      <c r="U598" t="s">
        <v>492</v>
      </c>
      <c r="V598" t="s">
        <v>493</v>
      </c>
      <c r="W598" t="s">
        <v>494</v>
      </c>
      <c r="X598" t="s">
        <v>494</v>
      </c>
      <c r="Y598" t="s">
        <v>617</v>
      </c>
      <c r="Z598">
        <v>2</v>
      </c>
      <c r="AA598">
        <v>2</v>
      </c>
      <c r="AC598" t="s">
        <v>751</v>
      </c>
      <c r="AE598" t="s">
        <v>43</v>
      </c>
      <c r="AF598" t="s">
        <v>496</v>
      </c>
      <c r="AG598" t="b">
        <v>0</v>
      </c>
      <c r="AH598" t="b">
        <v>0</v>
      </c>
      <c r="AI598" t="b">
        <v>0</v>
      </c>
      <c r="AK598" t="s">
        <v>497</v>
      </c>
      <c r="AL598" t="b">
        <v>0</v>
      </c>
      <c r="AM598" t="b">
        <v>0</v>
      </c>
    </row>
    <row r="599" spans="1:39">
      <c r="A599" t="s">
        <v>1392</v>
      </c>
      <c r="B599" t="b">
        <v>1</v>
      </c>
      <c r="C599">
        <v>100056</v>
      </c>
      <c r="D599" t="s">
        <v>306</v>
      </c>
      <c r="E599" t="s">
        <v>307</v>
      </c>
      <c r="F599" t="s">
        <v>488</v>
      </c>
      <c r="G599" t="s">
        <v>489</v>
      </c>
      <c r="H599" t="s">
        <v>46</v>
      </c>
      <c r="I599">
        <v>1</v>
      </c>
      <c r="J599" s="4">
        <v>44850</v>
      </c>
      <c r="K599" s="4">
        <v>44850</v>
      </c>
      <c r="L599" s="5">
        <v>0.5</v>
      </c>
      <c r="M599" s="5">
        <v>0.5</v>
      </c>
      <c r="N599">
        <v>55.530630000000002</v>
      </c>
      <c r="O599">
        <v>13.88138</v>
      </c>
      <c r="P599">
        <v>429392</v>
      </c>
      <c r="Q599">
        <v>6154410</v>
      </c>
      <c r="R599" t="s">
        <v>490</v>
      </c>
      <c r="S599">
        <v>500</v>
      </c>
      <c r="T599" t="s">
        <v>667</v>
      </c>
      <c r="U599" t="s">
        <v>516</v>
      </c>
      <c r="V599" t="s">
        <v>493</v>
      </c>
      <c r="W599" t="s">
        <v>494</v>
      </c>
      <c r="X599" t="s">
        <v>494</v>
      </c>
      <c r="Y599" t="s">
        <v>1393</v>
      </c>
      <c r="AE599" t="s">
        <v>52</v>
      </c>
      <c r="AF599" t="s">
        <v>496</v>
      </c>
      <c r="AG599" t="b">
        <v>0</v>
      </c>
      <c r="AH599" t="b">
        <v>0</v>
      </c>
      <c r="AI599" t="b">
        <v>0</v>
      </c>
      <c r="AK599" t="s">
        <v>497</v>
      </c>
      <c r="AL599" t="b">
        <v>0</v>
      </c>
      <c r="AM599" t="b">
        <v>0</v>
      </c>
    </row>
    <row r="600" spans="1:39">
      <c r="A600" t="s">
        <v>1394</v>
      </c>
      <c r="B600" t="b">
        <v>1</v>
      </c>
      <c r="C600">
        <v>102975</v>
      </c>
      <c r="D600" t="s">
        <v>255</v>
      </c>
      <c r="E600" t="s">
        <v>256</v>
      </c>
      <c r="F600" t="s">
        <v>488</v>
      </c>
      <c r="G600" t="s">
        <v>489</v>
      </c>
      <c r="H600" t="s">
        <v>81</v>
      </c>
      <c r="I600">
        <v>1</v>
      </c>
      <c r="J600" s="4">
        <v>44757</v>
      </c>
      <c r="K600" s="4">
        <v>44757</v>
      </c>
      <c r="N600">
        <v>55.556199999999997</v>
      </c>
      <c r="O600">
        <v>13.93919</v>
      </c>
      <c r="P600">
        <v>433085</v>
      </c>
      <c r="Q600">
        <v>6157198</v>
      </c>
      <c r="R600" t="s">
        <v>490</v>
      </c>
      <c r="S600">
        <v>25</v>
      </c>
      <c r="T600" t="s">
        <v>554</v>
      </c>
      <c r="U600" t="s">
        <v>508</v>
      </c>
      <c r="V600" t="s">
        <v>504</v>
      </c>
      <c r="W600" t="s">
        <v>494</v>
      </c>
      <c r="X600" t="s">
        <v>494</v>
      </c>
      <c r="Y600" t="s">
        <v>555</v>
      </c>
      <c r="Z600">
        <v>3</v>
      </c>
      <c r="AA600">
        <v>3</v>
      </c>
      <c r="AC600" t="s">
        <v>751</v>
      </c>
      <c r="AE600" t="s">
        <v>43</v>
      </c>
      <c r="AF600" t="s">
        <v>496</v>
      </c>
      <c r="AG600" t="b">
        <v>0</v>
      </c>
      <c r="AH600" t="b">
        <v>0</v>
      </c>
      <c r="AI600" t="b">
        <v>0</v>
      </c>
      <c r="AK600" t="s">
        <v>497</v>
      </c>
      <c r="AL600" t="b">
        <v>0</v>
      </c>
      <c r="AM600" t="b">
        <v>0</v>
      </c>
    </row>
    <row r="601" spans="1:39">
      <c r="A601" t="s">
        <v>1395</v>
      </c>
      <c r="B601" t="b">
        <v>1</v>
      </c>
      <c r="C601">
        <v>103055</v>
      </c>
      <c r="D601" t="s">
        <v>413</v>
      </c>
      <c r="E601" t="s">
        <v>414</v>
      </c>
      <c r="F601" t="s">
        <v>488</v>
      </c>
      <c r="G601" t="s">
        <v>489</v>
      </c>
      <c r="H601" t="s">
        <v>41</v>
      </c>
      <c r="I601">
        <v>1</v>
      </c>
      <c r="J601" s="4">
        <v>44693</v>
      </c>
      <c r="K601" s="4">
        <v>44693</v>
      </c>
      <c r="L601" s="5">
        <v>0.29166666666666669</v>
      </c>
      <c r="M601" s="5">
        <v>0.41666666666666669</v>
      </c>
      <c r="N601">
        <v>55.5351</v>
      </c>
      <c r="O601">
        <v>13.95862</v>
      </c>
      <c r="P601">
        <v>434276</v>
      </c>
      <c r="Q601">
        <v>6154832</v>
      </c>
      <c r="R601" t="s">
        <v>490</v>
      </c>
      <c r="S601">
        <v>400</v>
      </c>
      <c r="T601" t="s">
        <v>563</v>
      </c>
      <c r="U601" t="s">
        <v>508</v>
      </c>
      <c r="V601" t="s">
        <v>504</v>
      </c>
      <c r="W601" t="s">
        <v>494</v>
      </c>
      <c r="X601" t="s">
        <v>494</v>
      </c>
      <c r="Y601" t="s">
        <v>536</v>
      </c>
      <c r="Z601">
        <v>1</v>
      </c>
      <c r="AA601">
        <v>1</v>
      </c>
      <c r="AE601" t="s">
        <v>42</v>
      </c>
      <c r="AF601" t="s">
        <v>496</v>
      </c>
      <c r="AG601" t="b">
        <v>0</v>
      </c>
      <c r="AH601" t="b">
        <v>0</v>
      </c>
      <c r="AI601" t="b">
        <v>0</v>
      </c>
      <c r="AK601" t="s">
        <v>497</v>
      </c>
      <c r="AL601" t="b">
        <v>0</v>
      </c>
      <c r="AM601" t="b">
        <v>0</v>
      </c>
    </row>
    <row r="602" spans="1:39">
      <c r="A602" t="s">
        <v>1396</v>
      </c>
      <c r="B602" t="b">
        <v>1</v>
      </c>
      <c r="C602">
        <v>103020</v>
      </c>
      <c r="D602" t="s">
        <v>328</v>
      </c>
      <c r="E602" t="s">
        <v>329</v>
      </c>
      <c r="F602" t="s">
        <v>488</v>
      </c>
      <c r="G602" t="s">
        <v>489</v>
      </c>
      <c r="H602" t="s">
        <v>41</v>
      </c>
      <c r="I602">
        <v>1</v>
      </c>
      <c r="J602" s="4">
        <v>45812</v>
      </c>
      <c r="K602" s="4">
        <v>45812</v>
      </c>
      <c r="L602" s="5">
        <v>0.3576388888888889</v>
      </c>
      <c r="M602" s="5">
        <v>0.38541666666666669</v>
      </c>
      <c r="N602">
        <v>55.530740000000002</v>
      </c>
      <c r="O602">
        <v>13.879630000000001</v>
      </c>
      <c r="P602">
        <v>429282</v>
      </c>
      <c r="Q602">
        <v>6154424</v>
      </c>
      <c r="R602" t="s">
        <v>490</v>
      </c>
      <c r="S602">
        <v>310</v>
      </c>
      <c r="T602" t="s">
        <v>499</v>
      </c>
      <c r="U602" t="s">
        <v>492</v>
      </c>
      <c r="V602" t="s">
        <v>493</v>
      </c>
      <c r="W602" t="s">
        <v>494</v>
      </c>
      <c r="X602" t="s">
        <v>494</v>
      </c>
      <c r="Y602" t="s">
        <v>671</v>
      </c>
      <c r="Z602">
        <v>1</v>
      </c>
      <c r="AA602">
        <v>1</v>
      </c>
      <c r="AE602" t="s">
        <v>538</v>
      </c>
      <c r="AF602" t="s">
        <v>496</v>
      </c>
      <c r="AG602" t="b">
        <v>0</v>
      </c>
      <c r="AH602" t="b">
        <v>0</v>
      </c>
      <c r="AI602" t="b">
        <v>0</v>
      </c>
      <c r="AK602" t="s">
        <v>497</v>
      </c>
      <c r="AL602" t="b">
        <v>0</v>
      </c>
      <c r="AM602" t="b">
        <v>0</v>
      </c>
    </row>
    <row r="603" spans="1:39">
      <c r="A603" t="s">
        <v>1397</v>
      </c>
      <c r="B603" t="b">
        <v>1</v>
      </c>
      <c r="C603">
        <v>102626</v>
      </c>
      <c r="D603" t="s">
        <v>318</v>
      </c>
      <c r="E603" t="s">
        <v>319</v>
      </c>
      <c r="F603" t="s">
        <v>488</v>
      </c>
      <c r="G603" t="s">
        <v>489</v>
      </c>
      <c r="H603" t="s">
        <v>46</v>
      </c>
      <c r="I603">
        <v>1</v>
      </c>
      <c r="J603" s="4">
        <v>45812</v>
      </c>
      <c r="K603" s="4">
        <v>45812</v>
      </c>
      <c r="L603" s="5">
        <v>0.3923611111111111</v>
      </c>
      <c r="M603" s="5">
        <v>0.39583333333333331</v>
      </c>
      <c r="N603">
        <v>55.525750000000002</v>
      </c>
      <c r="O603">
        <v>13.88649</v>
      </c>
      <c r="P603">
        <v>429706</v>
      </c>
      <c r="Q603">
        <v>6153862</v>
      </c>
      <c r="R603" t="s">
        <v>490</v>
      </c>
      <c r="S603">
        <v>311</v>
      </c>
      <c r="T603" t="s">
        <v>515</v>
      </c>
      <c r="U603" t="s">
        <v>516</v>
      </c>
      <c r="V603" t="s">
        <v>493</v>
      </c>
      <c r="W603" t="s">
        <v>494</v>
      </c>
      <c r="X603" t="s">
        <v>494</v>
      </c>
      <c r="Y603" t="s">
        <v>671</v>
      </c>
      <c r="Z603">
        <v>1</v>
      </c>
      <c r="AA603">
        <v>1</v>
      </c>
      <c r="AD603" t="s">
        <v>510</v>
      </c>
      <c r="AE603" t="s">
        <v>538</v>
      </c>
      <c r="AF603" t="s">
        <v>496</v>
      </c>
      <c r="AG603" t="b">
        <v>0</v>
      </c>
      <c r="AH603" t="b">
        <v>0</v>
      </c>
      <c r="AI603" t="b">
        <v>0</v>
      </c>
      <c r="AK603" t="s">
        <v>497</v>
      </c>
      <c r="AL603" t="b">
        <v>0</v>
      </c>
      <c r="AM603" t="b">
        <v>0</v>
      </c>
    </row>
    <row r="604" spans="1:39">
      <c r="A604" t="s">
        <v>1398</v>
      </c>
      <c r="B604" t="b">
        <v>1</v>
      </c>
      <c r="C604">
        <v>100049</v>
      </c>
      <c r="D604" t="s">
        <v>295</v>
      </c>
      <c r="E604" t="s">
        <v>296</v>
      </c>
      <c r="F604" t="s">
        <v>488</v>
      </c>
      <c r="G604" t="s">
        <v>489</v>
      </c>
      <c r="H604" t="s">
        <v>46</v>
      </c>
      <c r="I604">
        <v>1</v>
      </c>
      <c r="J604" s="4">
        <v>45735</v>
      </c>
      <c r="K604" s="4">
        <v>45735</v>
      </c>
      <c r="N604">
        <v>55.517330000000001</v>
      </c>
      <c r="O604">
        <v>13.92717</v>
      </c>
      <c r="P604">
        <v>432260</v>
      </c>
      <c r="Q604">
        <v>6152885</v>
      </c>
      <c r="R604" t="s">
        <v>490</v>
      </c>
      <c r="S604">
        <v>50</v>
      </c>
      <c r="T604" t="s">
        <v>1399</v>
      </c>
      <c r="U604" t="s">
        <v>525</v>
      </c>
      <c r="V604" t="s">
        <v>504</v>
      </c>
      <c r="W604" t="s">
        <v>494</v>
      </c>
      <c r="X604" t="s">
        <v>494</v>
      </c>
      <c r="Y604" t="s">
        <v>596</v>
      </c>
      <c r="Z604">
        <v>1</v>
      </c>
      <c r="AA604">
        <v>1</v>
      </c>
      <c r="AC604" t="s">
        <v>512</v>
      </c>
      <c r="AE604" t="s">
        <v>52</v>
      </c>
      <c r="AF604" t="s">
        <v>496</v>
      </c>
      <c r="AG604" t="b">
        <v>0</v>
      </c>
      <c r="AH604" t="b">
        <v>0</v>
      </c>
      <c r="AI604" t="b">
        <v>0</v>
      </c>
      <c r="AK604" t="s">
        <v>497</v>
      </c>
      <c r="AL604" t="b">
        <v>0</v>
      </c>
      <c r="AM604" t="b">
        <v>0</v>
      </c>
    </row>
    <row r="605" spans="1:39">
      <c r="A605" t="s">
        <v>1400</v>
      </c>
      <c r="B605" t="b">
        <v>1</v>
      </c>
      <c r="C605">
        <v>102990</v>
      </c>
      <c r="D605" t="s">
        <v>39</v>
      </c>
      <c r="E605" t="s">
        <v>40</v>
      </c>
      <c r="F605" t="s">
        <v>488</v>
      </c>
      <c r="G605" t="s">
        <v>489</v>
      </c>
      <c r="H605" t="s">
        <v>41</v>
      </c>
      <c r="I605">
        <v>1</v>
      </c>
      <c r="J605" s="4">
        <v>45731</v>
      </c>
      <c r="K605" s="4">
        <v>45731</v>
      </c>
      <c r="N605">
        <v>55.530740000000002</v>
      </c>
      <c r="O605">
        <v>13.879630000000001</v>
      </c>
      <c r="P605">
        <v>429282</v>
      </c>
      <c r="Q605">
        <v>6154424</v>
      </c>
      <c r="R605" t="s">
        <v>490</v>
      </c>
      <c r="S605">
        <v>310</v>
      </c>
      <c r="T605" t="s">
        <v>499</v>
      </c>
      <c r="U605" t="s">
        <v>492</v>
      </c>
      <c r="V605" t="s">
        <v>493</v>
      </c>
      <c r="W605" t="s">
        <v>494</v>
      </c>
      <c r="X605" t="s">
        <v>494</v>
      </c>
      <c r="Y605" t="s">
        <v>598</v>
      </c>
      <c r="Z605">
        <v>1</v>
      </c>
      <c r="AA605">
        <v>1</v>
      </c>
      <c r="AE605" t="s">
        <v>42</v>
      </c>
      <c r="AF605" t="s">
        <v>496</v>
      </c>
      <c r="AG605" t="b">
        <v>0</v>
      </c>
      <c r="AH605" t="b">
        <v>0</v>
      </c>
      <c r="AI605" t="b">
        <v>0</v>
      </c>
      <c r="AK605" t="s">
        <v>497</v>
      </c>
      <c r="AL605" t="b">
        <v>0</v>
      </c>
      <c r="AM605" t="b">
        <v>0</v>
      </c>
    </row>
    <row r="606" spans="1:39">
      <c r="A606" t="s">
        <v>1401</v>
      </c>
      <c r="B606" t="b">
        <v>1</v>
      </c>
      <c r="C606">
        <v>102930</v>
      </c>
      <c r="D606" t="s">
        <v>86</v>
      </c>
      <c r="E606" t="s">
        <v>87</v>
      </c>
      <c r="F606" t="s">
        <v>488</v>
      </c>
      <c r="G606" t="s">
        <v>489</v>
      </c>
      <c r="H606" t="s">
        <v>41</v>
      </c>
      <c r="I606">
        <v>1</v>
      </c>
      <c r="J606" s="4">
        <v>45765</v>
      </c>
      <c r="K606" s="4">
        <v>45765</v>
      </c>
      <c r="L606" s="5">
        <v>0.51388888888888884</v>
      </c>
      <c r="M606" s="5">
        <v>0.59722222222222221</v>
      </c>
      <c r="N606">
        <v>55.515189999999997</v>
      </c>
      <c r="O606">
        <v>13.899330000000001</v>
      </c>
      <c r="P606">
        <v>430498</v>
      </c>
      <c r="Q606">
        <v>6152673</v>
      </c>
      <c r="R606" t="s">
        <v>490</v>
      </c>
      <c r="S606">
        <v>125</v>
      </c>
      <c r="T606" t="s">
        <v>552</v>
      </c>
      <c r="U606" t="s">
        <v>525</v>
      </c>
      <c r="V606" t="s">
        <v>504</v>
      </c>
      <c r="W606" t="s">
        <v>494</v>
      </c>
      <c r="X606" t="s">
        <v>494</v>
      </c>
      <c r="Y606" t="s">
        <v>536</v>
      </c>
      <c r="Z606">
        <v>2</v>
      </c>
      <c r="AA606">
        <v>2</v>
      </c>
      <c r="AD606" t="s">
        <v>527</v>
      </c>
      <c r="AE606" t="s">
        <v>538</v>
      </c>
      <c r="AF606" t="s">
        <v>496</v>
      </c>
      <c r="AG606" t="b">
        <v>0</v>
      </c>
      <c r="AH606" t="b">
        <v>0</v>
      </c>
      <c r="AI606" t="b">
        <v>0</v>
      </c>
      <c r="AK606" t="s">
        <v>497</v>
      </c>
      <c r="AL606" t="b">
        <v>0</v>
      </c>
      <c r="AM606" t="b">
        <v>0</v>
      </c>
    </row>
    <row r="607" spans="1:39">
      <c r="A607" t="s">
        <v>1402</v>
      </c>
      <c r="B607" t="b">
        <v>1</v>
      </c>
      <c r="C607">
        <v>102993</v>
      </c>
      <c r="D607" t="s">
        <v>384</v>
      </c>
      <c r="E607" t="s">
        <v>385</v>
      </c>
      <c r="F607" t="s">
        <v>488</v>
      </c>
      <c r="G607" t="s">
        <v>489</v>
      </c>
      <c r="H607" t="s">
        <v>85</v>
      </c>
      <c r="I607">
        <v>1</v>
      </c>
      <c r="J607" s="4">
        <v>45078</v>
      </c>
      <c r="K607" s="4">
        <v>45078</v>
      </c>
      <c r="N607">
        <v>55.551600000000001</v>
      </c>
      <c r="O607">
        <v>13.955550000000001</v>
      </c>
      <c r="P607">
        <v>434109</v>
      </c>
      <c r="Q607">
        <v>6156670</v>
      </c>
      <c r="R607" t="s">
        <v>490</v>
      </c>
      <c r="S607">
        <v>250</v>
      </c>
      <c r="T607" t="s">
        <v>765</v>
      </c>
      <c r="U607" t="s">
        <v>508</v>
      </c>
      <c r="V607" t="s">
        <v>504</v>
      </c>
      <c r="W607" t="s">
        <v>494</v>
      </c>
      <c r="X607" t="s">
        <v>494</v>
      </c>
      <c r="Y607" t="s">
        <v>536</v>
      </c>
      <c r="Z607">
        <v>2</v>
      </c>
      <c r="AA607">
        <v>2</v>
      </c>
      <c r="AD607" t="s">
        <v>527</v>
      </c>
      <c r="AE607" t="s">
        <v>62</v>
      </c>
      <c r="AF607" t="s">
        <v>496</v>
      </c>
      <c r="AG607" t="b">
        <v>0</v>
      </c>
      <c r="AH607" t="b">
        <v>0</v>
      </c>
      <c r="AI607" t="b">
        <v>0</v>
      </c>
      <c r="AK607" t="s">
        <v>497</v>
      </c>
      <c r="AL607" t="b">
        <v>0</v>
      </c>
      <c r="AM607" t="b">
        <v>0</v>
      </c>
    </row>
    <row r="608" spans="1:39">
      <c r="A608" t="s">
        <v>1403</v>
      </c>
      <c r="B608" t="b">
        <v>1</v>
      </c>
      <c r="C608">
        <v>102981</v>
      </c>
      <c r="D608" t="s">
        <v>356</v>
      </c>
      <c r="E608" t="s">
        <v>357</v>
      </c>
      <c r="F608" t="s">
        <v>488</v>
      </c>
      <c r="G608" t="s">
        <v>489</v>
      </c>
      <c r="H608" t="s">
        <v>85</v>
      </c>
      <c r="I608">
        <v>1</v>
      </c>
      <c r="J608" s="4">
        <v>45073</v>
      </c>
      <c r="K608" s="4">
        <v>45073</v>
      </c>
      <c r="N608">
        <v>55.543529999999997</v>
      </c>
      <c r="O608">
        <v>13.95298</v>
      </c>
      <c r="P608">
        <v>433934</v>
      </c>
      <c r="Q608">
        <v>6155775</v>
      </c>
      <c r="R608" t="s">
        <v>490</v>
      </c>
      <c r="S608">
        <v>50</v>
      </c>
      <c r="T608" t="s">
        <v>1404</v>
      </c>
      <c r="U608" t="s">
        <v>508</v>
      </c>
      <c r="V608" t="s">
        <v>504</v>
      </c>
      <c r="W608" t="s">
        <v>494</v>
      </c>
      <c r="X608" t="s">
        <v>494</v>
      </c>
      <c r="Y608" t="s">
        <v>738</v>
      </c>
      <c r="Z608">
        <v>20</v>
      </c>
      <c r="AA608">
        <v>20</v>
      </c>
      <c r="AE608" t="s">
        <v>57</v>
      </c>
      <c r="AF608" t="s">
        <v>496</v>
      </c>
      <c r="AG608" t="b">
        <v>0</v>
      </c>
      <c r="AH608" t="b">
        <v>0</v>
      </c>
      <c r="AI608" t="b">
        <v>0</v>
      </c>
      <c r="AK608" t="s">
        <v>497</v>
      </c>
      <c r="AL608" t="b">
        <v>0</v>
      </c>
      <c r="AM608" t="b">
        <v>0</v>
      </c>
    </row>
    <row r="609" spans="1:39">
      <c r="A609" t="s">
        <v>1405</v>
      </c>
      <c r="B609" t="b">
        <v>1</v>
      </c>
      <c r="C609">
        <v>102104</v>
      </c>
      <c r="D609" t="s">
        <v>126</v>
      </c>
      <c r="E609" t="s">
        <v>127</v>
      </c>
      <c r="F609" t="s">
        <v>488</v>
      </c>
      <c r="G609" t="s">
        <v>489</v>
      </c>
      <c r="H609" t="s">
        <v>46</v>
      </c>
      <c r="I609">
        <v>1</v>
      </c>
      <c r="J609" s="4">
        <v>45539</v>
      </c>
      <c r="K609" s="4">
        <v>45539</v>
      </c>
      <c r="L609" s="5">
        <v>0.34722222222222221</v>
      </c>
      <c r="M609" s="5">
        <v>0.34722222222222221</v>
      </c>
      <c r="N609">
        <v>55.54081</v>
      </c>
      <c r="O609">
        <v>13.95609</v>
      </c>
      <c r="P609">
        <v>434125</v>
      </c>
      <c r="Q609">
        <v>6155470</v>
      </c>
      <c r="R609" t="s">
        <v>490</v>
      </c>
      <c r="S609">
        <v>1500</v>
      </c>
      <c r="T609" t="s">
        <v>507</v>
      </c>
      <c r="U609" t="s">
        <v>508</v>
      </c>
      <c r="V609" t="s">
        <v>504</v>
      </c>
      <c r="W609" t="s">
        <v>494</v>
      </c>
      <c r="X609" t="s">
        <v>494</v>
      </c>
      <c r="Y609" t="s">
        <v>572</v>
      </c>
      <c r="Z609">
        <v>2</v>
      </c>
      <c r="AA609">
        <v>2</v>
      </c>
      <c r="AC609" t="s">
        <v>512</v>
      </c>
      <c r="AE609" t="s">
        <v>431</v>
      </c>
      <c r="AF609" t="s">
        <v>496</v>
      </c>
      <c r="AG609" t="b">
        <v>0</v>
      </c>
      <c r="AH609" t="b">
        <v>0</v>
      </c>
      <c r="AI609" t="b">
        <v>0</v>
      </c>
      <c r="AK609" t="s">
        <v>497</v>
      </c>
      <c r="AL609" t="b">
        <v>0</v>
      </c>
      <c r="AM609" t="b">
        <v>0</v>
      </c>
    </row>
    <row r="610" spans="1:39">
      <c r="A610" t="s">
        <v>1406</v>
      </c>
      <c r="B610" t="b">
        <v>1</v>
      </c>
      <c r="C610">
        <v>103042</v>
      </c>
      <c r="D610" t="s">
        <v>398</v>
      </c>
      <c r="E610" t="s">
        <v>399</v>
      </c>
      <c r="F610" t="s">
        <v>488</v>
      </c>
      <c r="G610" t="s">
        <v>489</v>
      </c>
      <c r="H610" t="s">
        <v>85</v>
      </c>
      <c r="I610">
        <v>1</v>
      </c>
      <c r="J610" s="4">
        <v>45397</v>
      </c>
      <c r="K610" s="4">
        <v>45397</v>
      </c>
      <c r="N610">
        <v>55.569319999999998</v>
      </c>
      <c r="O610">
        <v>13.92938</v>
      </c>
      <c r="P610">
        <v>432488</v>
      </c>
      <c r="Q610">
        <v>6158668</v>
      </c>
      <c r="R610" t="s">
        <v>490</v>
      </c>
      <c r="S610">
        <v>593</v>
      </c>
      <c r="T610" t="s">
        <v>549</v>
      </c>
      <c r="U610" t="s">
        <v>508</v>
      </c>
      <c r="V610" t="s">
        <v>504</v>
      </c>
      <c r="W610" t="s">
        <v>494</v>
      </c>
      <c r="X610" t="s">
        <v>494</v>
      </c>
      <c r="Y610" t="s">
        <v>526</v>
      </c>
      <c r="Z610">
        <v>1</v>
      </c>
      <c r="AA610">
        <v>1</v>
      </c>
      <c r="AE610" t="s">
        <v>42</v>
      </c>
      <c r="AF610" t="s">
        <v>496</v>
      </c>
      <c r="AG610" t="b">
        <v>0</v>
      </c>
      <c r="AH610" t="b">
        <v>0</v>
      </c>
      <c r="AI610" t="b">
        <v>0</v>
      </c>
      <c r="AK610" t="s">
        <v>497</v>
      </c>
      <c r="AL610" t="b">
        <v>0</v>
      </c>
      <c r="AM610" t="b">
        <v>0</v>
      </c>
    </row>
    <row r="611" spans="1:39">
      <c r="A611" t="s">
        <v>1407</v>
      </c>
      <c r="B611" t="b">
        <v>1</v>
      </c>
      <c r="C611">
        <v>102990</v>
      </c>
      <c r="D611" t="s">
        <v>39</v>
      </c>
      <c r="E611" t="s">
        <v>40</v>
      </c>
      <c r="F611" t="s">
        <v>488</v>
      </c>
      <c r="G611" t="s">
        <v>489</v>
      </c>
      <c r="H611" t="s">
        <v>41</v>
      </c>
      <c r="I611">
        <v>1</v>
      </c>
      <c r="J611" s="4">
        <v>45379</v>
      </c>
      <c r="K611" s="4">
        <v>45379</v>
      </c>
      <c r="N611">
        <v>55.556199999999997</v>
      </c>
      <c r="O611">
        <v>13.93919</v>
      </c>
      <c r="P611">
        <v>433085</v>
      </c>
      <c r="Q611">
        <v>6157198</v>
      </c>
      <c r="R611" t="s">
        <v>490</v>
      </c>
      <c r="S611">
        <v>25</v>
      </c>
      <c r="T611" t="s">
        <v>554</v>
      </c>
      <c r="U611" t="s">
        <v>508</v>
      </c>
      <c r="V611" t="s">
        <v>504</v>
      </c>
      <c r="W611" t="s">
        <v>494</v>
      </c>
      <c r="X611" t="s">
        <v>494</v>
      </c>
      <c r="Y611" t="s">
        <v>555</v>
      </c>
      <c r="Z611">
        <v>1</v>
      </c>
      <c r="AA611">
        <v>1</v>
      </c>
      <c r="AE611" t="s">
        <v>42</v>
      </c>
      <c r="AF611" t="s">
        <v>496</v>
      </c>
      <c r="AG611" t="b">
        <v>0</v>
      </c>
      <c r="AH611" t="b">
        <v>0</v>
      </c>
      <c r="AI611" t="b">
        <v>0</v>
      </c>
      <c r="AK611" t="s">
        <v>497</v>
      </c>
      <c r="AL611" t="b">
        <v>0</v>
      </c>
      <c r="AM611" t="b">
        <v>0</v>
      </c>
    </row>
    <row r="612" spans="1:39">
      <c r="A612" t="s">
        <v>1408</v>
      </c>
      <c r="B612" t="b">
        <v>1</v>
      </c>
      <c r="C612">
        <v>100049</v>
      </c>
      <c r="D612" t="s">
        <v>295</v>
      </c>
      <c r="E612" t="s">
        <v>296</v>
      </c>
      <c r="F612" t="s">
        <v>488</v>
      </c>
      <c r="G612" t="s">
        <v>489</v>
      </c>
      <c r="H612" t="s">
        <v>46</v>
      </c>
      <c r="I612">
        <v>1</v>
      </c>
      <c r="J612" s="4">
        <v>45380</v>
      </c>
      <c r="K612" s="4">
        <v>45380</v>
      </c>
      <c r="N612">
        <v>55.530740000000002</v>
      </c>
      <c r="O612">
        <v>13.879630000000001</v>
      </c>
      <c r="P612">
        <v>429282</v>
      </c>
      <c r="Q612">
        <v>6154424</v>
      </c>
      <c r="R612" t="s">
        <v>490</v>
      </c>
      <c r="S612">
        <v>310</v>
      </c>
      <c r="T612" t="s">
        <v>499</v>
      </c>
      <c r="U612" t="s">
        <v>492</v>
      </c>
      <c r="V612" t="s">
        <v>493</v>
      </c>
      <c r="W612" t="s">
        <v>494</v>
      </c>
      <c r="X612" t="s">
        <v>494</v>
      </c>
      <c r="Y612" t="s">
        <v>1409</v>
      </c>
      <c r="Z612">
        <v>1</v>
      </c>
      <c r="AA612">
        <v>1</v>
      </c>
      <c r="AE612" t="s">
        <v>42</v>
      </c>
      <c r="AF612" t="s">
        <v>496</v>
      </c>
      <c r="AG612" t="b">
        <v>0</v>
      </c>
      <c r="AH612" t="b">
        <v>0</v>
      </c>
      <c r="AI612" t="b">
        <v>0</v>
      </c>
      <c r="AK612" t="s">
        <v>497</v>
      </c>
      <c r="AL612" t="b">
        <v>0</v>
      </c>
      <c r="AM612" t="b">
        <v>0</v>
      </c>
    </row>
    <row r="613" spans="1:39">
      <c r="A613" t="s">
        <v>1410</v>
      </c>
      <c r="B613" t="b">
        <v>1</v>
      </c>
      <c r="C613">
        <v>102977</v>
      </c>
      <c r="D613" t="s">
        <v>47</v>
      </c>
      <c r="E613" t="s">
        <v>48</v>
      </c>
      <c r="F613" t="s">
        <v>488</v>
      </c>
      <c r="G613" t="s">
        <v>489</v>
      </c>
      <c r="H613" t="s">
        <v>46</v>
      </c>
      <c r="I613">
        <v>1</v>
      </c>
      <c r="J613" s="4">
        <v>45393</v>
      </c>
      <c r="K613" s="4">
        <v>45393</v>
      </c>
      <c r="L613" s="5">
        <v>0.64236111111111116</v>
      </c>
      <c r="M613" s="5">
        <v>0.64236111111111116</v>
      </c>
      <c r="N613">
        <v>55.525750000000002</v>
      </c>
      <c r="O613">
        <v>13.88649</v>
      </c>
      <c r="P613">
        <v>429706</v>
      </c>
      <c r="Q613">
        <v>6153862</v>
      </c>
      <c r="R613" t="s">
        <v>490</v>
      </c>
      <c r="S613">
        <v>311</v>
      </c>
      <c r="T613" t="s">
        <v>515</v>
      </c>
      <c r="U613" t="s">
        <v>516</v>
      </c>
      <c r="V613" t="s">
        <v>493</v>
      </c>
      <c r="W613" t="s">
        <v>494</v>
      </c>
      <c r="X613" t="s">
        <v>494</v>
      </c>
      <c r="Y613" t="s">
        <v>817</v>
      </c>
      <c r="Z613">
        <v>1</v>
      </c>
      <c r="AA613">
        <v>1</v>
      </c>
      <c r="AE613" t="s">
        <v>42</v>
      </c>
      <c r="AF613" t="s">
        <v>496</v>
      </c>
      <c r="AG613" t="b">
        <v>0</v>
      </c>
      <c r="AH613" t="b">
        <v>0</v>
      </c>
      <c r="AI613" t="b">
        <v>0</v>
      </c>
      <c r="AK613" t="s">
        <v>497</v>
      </c>
      <c r="AL613" t="b">
        <v>0</v>
      </c>
      <c r="AM613" t="b">
        <v>0</v>
      </c>
    </row>
    <row r="614" spans="1:39">
      <c r="A614" t="s">
        <v>1411</v>
      </c>
      <c r="B614" t="b">
        <v>1</v>
      </c>
      <c r="C614">
        <v>103042</v>
      </c>
      <c r="D614" t="s">
        <v>398</v>
      </c>
      <c r="E614" t="s">
        <v>399</v>
      </c>
      <c r="F614" t="s">
        <v>488</v>
      </c>
      <c r="G614" t="s">
        <v>489</v>
      </c>
      <c r="H614" t="s">
        <v>85</v>
      </c>
      <c r="I614">
        <v>1</v>
      </c>
      <c r="J614" s="4">
        <v>45385</v>
      </c>
      <c r="K614" s="4">
        <v>45385</v>
      </c>
      <c r="L614" s="5">
        <v>0.41666666666666669</v>
      </c>
      <c r="M614" s="5">
        <v>0.52083333333333337</v>
      </c>
      <c r="N614">
        <v>55.547759999999997</v>
      </c>
      <c r="O614">
        <v>13.86754</v>
      </c>
      <c r="P614">
        <v>428550</v>
      </c>
      <c r="Q614">
        <v>6156331</v>
      </c>
      <c r="R614" t="s">
        <v>490</v>
      </c>
      <c r="S614">
        <v>627</v>
      </c>
      <c r="T614" t="s">
        <v>541</v>
      </c>
      <c r="U614" t="s">
        <v>525</v>
      </c>
      <c r="V614" t="s">
        <v>504</v>
      </c>
      <c r="W614" t="s">
        <v>494</v>
      </c>
      <c r="X614" t="s">
        <v>494</v>
      </c>
      <c r="Y614" t="s">
        <v>1262</v>
      </c>
      <c r="Z614">
        <v>3</v>
      </c>
      <c r="AA614">
        <v>3</v>
      </c>
      <c r="AE614" t="s">
        <v>42</v>
      </c>
      <c r="AF614" t="s">
        <v>496</v>
      </c>
      <c r="AG614" t="b">
        <v>0</v>
      </c>
      <c r="AH614" t="b">
        <v>0</v>
      </c>
      <c r="AI614" t="b">
        <v>0</v>
      </c>
      <c r="AK614" t="s">
        <v>497</v>
      </c>
      <c r="AL614" t="b">
        <v>0</v>
      </c>
      <c r="AM614" t="b">
        <v>0</v>
      </c>
    </row>
    <row r="615" spans="1:39">
      <c r="A615" t="s">
        <v>1412</v>
      </c>
      <c r="B615" t="b">
        <v>1</v>
      </c>
      <c r="C615">
        <v>102990</v>
      </c>
      <c r="D615" t="s">
        <v>39</v>
      </c>
      <c r="E615" t="s">
        <v>40</v>
      </c>
      <c r="F615" t="s">
        <v>488</v>
      </c>
      <c r="G615" t="s">
        <v>489</v>
      </c>
      <c r="H615" t="s">
        <v>41</v>
      </c>
      <c r="I615">
        <v>1</v>
      </c>
      <c r="J615" s="4">
        <v>38891</v>
      </c>
      <c r="K615" s="4">
        <v>38891</v>
      </c>
      <c r="L615" s="5">
        <v>0.5</v>
      </c>
      <c r="M615" s="5">
        <v>0.625</v>
      </c>
      <c r="N615">
        <v>55.530740000000002</v>
      </c>
      <c r="O615">
        <v>13.879630000000001</v>
      </c>
      <c r="P615">
        <v>429282</v>
      </c>
      <c r="Q615">
        <v>6154424</v>
      </c>
      <c r="R615" t="s">
        <v>490</v>
      </c>
      <c r="S615">
        <v>310</v>
      </c>
      <c r="T615" t="s">
        <v>499</v>
      </c>
      <c r="U615" t="s">
        <v>492</v>
      </c>
      <c r="V615" t="s">
        <v>493</v>
      </c>
      <c r="W615" t="s">
        <v>494</v>
      </c>
      <c r="X615" t="s">
        <v>494</v>
      </c>
      <c r="Y615" t="s">
        <v>883</v>
      </c>
      <c r="Z615">
        <v>1</v>
      </c>
      <c r="AA615">
        <v>1</v>
      </c>
      <c r="AE615" t="s">
        <v>42</v>
      </c>
      <c r="AF615" t="s">
        <v>496</v>
      </c>
      <c r="AG615" t="b">
        <v>0</v>
      </c>
      <c r="AH615" t="b">
        <v>0</v>
      </c>
      <c r="AI615" t="b">
        <v>0</v>
      </c>
      <c r="AK615" t="s">
        <v>497</v>
      </c>
      <c r="AL615" t="b">
        <v>0</v>
      </c>
      <c r="AM615" t="b">
        <v>0</v>
      </c>
    </row>
    <row r="616" spans="1:39">
      <c r="A616" t="s">
        <v>1413</v>
      </c>
      <c r="B616" t="b">
        <v>1</v>
      </c>
      <c r="C616">
        <v>102972</v>
      </c>
      <c r="D616" t="s">
        <v>55</v>
      </c>
      <c r="E616" t="s">
        <v>56</v>
      </c>
      <c r="F616" t="s">
        <v>488</v>
      </c>
      <c r="G616" t="s">
        <v>489</v>
      </c>
      <c r="H616" t="s">
        <v>41</v>
      </c>
      <c r="I616">
        <v>1</v>
      </c>
      <c r="J616" s="4">
        <v>40381</v>
      </c>
      <c r="K616" s="4">
        <v>40381</v>
      </c>
      <c r="L616" s="5">
        <v>0.58333333333333337</v>
      </c>
      <c r="M616" s="5">
        <v>0.58333333333333337</v>
      </c>
      <c r="N616">
        <v>55.54081</v>
      </c>
      <c r="O616">
        <v>13.95609</v>
      </c>
      <c r="P616">
        <v>434125</v>
      </c>
      <c r="Q616">
        <v>6155470</v>
      </c>
      <c r="R616" t="s">
        <v>490</v>
      </c>
      <c r="S616">
        <v>1500</v>
      </c>
      <c r="T616" t="s">
        <v>507</v>
      </c>
      <c r="U616" t="s">
        <v>508</v>
      </c>
      <c r="V616" t="s">
        <v>504</v>
      </c>
      <c r="W616" t="s">
        <v>494</v>
      </c>
      <c r="X616" t="s">
        <v>494</v>
      </c>
      <c r="Y616" t="s">
        <v>1414</v>
      </c>
      <c r="Z616">
        <v>2</v>
      </c>
      <c r="AA616">
        <v>2</v>
      </c>
      <c r="AC616" t="s">
        <v>512</v>
      </c>
      <c r="AE616" t="s">
        <v>439</v>
      </c>
      <c r="AF616" t="s">
        <v>496</v>
      </c>
      <c r="AG616" t="b">
        <v>0</v>
      </c>
      <c r="AH616" t="b">
        <v>0</v>
      </c>
      <c r="AI616" t="b">
        <v>0</v>
      </c>
      <c r="AK616" t="s">
        <v>497</v>
      </c>
      <c r="AL616" t="b">
        <v>0</v>
      </c>
      <c r="AM616" t="b">
        <v>0</v>
      </c>
    </row>
    <row r="617" spans="1:39">
      <c r="A617" t="s">
        <v>1415</v>
      </c>
      <c r="B617" t="b">
        <v>1</v>
      </c>
      <c r="C617">
        <v>103037</v>
      </c>
      <c r="D617" t="s">
        <v>368</v>
      </c>
      <c r="E617" t="s">
        <v>369</v>
      </c>
      <c r="F617" t="s">
        <v>488</v>
      </c>
      <c r="G617" t="s">
        <v>489</v>
      </c>
      <c r="H617" t="s">
        <v>85</v>
      </c>
      <c r="I617">
        <v>1</v>
      </c>
      <c r="J617" s="4">
        <v>40336</v>
      </c>
      <c r="K617" s="4">
        <v>40336</v>
      </c>
      <c r="L617" s="5">
        <v>0.60416666666666663</v>
      </c>
      <c r="M617" s="5">
        <v>0.66666666666666663</v>
      </c>
      <c r="N617">
        <v>55.527650000000001</v>
      </c>
      <c r="O617">
        <v>13.900119999999999</v>
      </c>
      <c r="P617">
        <v>430570</v>
      </c>
      <c r="Q617">
        <v>6154060</v>
      </c>
      <c r="R617" t="s">
        <v>490</v>
      </c>
      <c r="S617">
        <v>250</v>
      </c>
      <c r="T617" t="s">
        <v>578</v>
      </c>
      <c r="U617" t="s">
        <v>525</v>
      </c>
      <c r="V617" t="s">
        <v>504</v>
      </c>
      <c r="W617" t="s">
        <v>494</v>
      </c>
      <c r="X617" t="s">
        <v>494</v>
      </c>
      <c r="Y617" t="s">
        <v>691</v>
      </c>
      <c r="Z617">
        <v>3</v>
      </c>
      <c r="AA617">
        <v>3</v>
      </c>
      <c r="AE617" t="s">
        <v>538</v>
      </c>
      <c r="AF617" t="s">
        <v>496</v>
      </c>
      <c r="AG617" t="b">
        <v>0</v>
      </c>
      <c r="AH617" t="b">
        <v>0</v>
      </c>
      <c r="AI617" t="b">
        <v>0</v>
      </c>
      <c r="AK617" t="s">
        <v>497</v>
      </c>
      <c r="AL617" t="b">
        <v>0</v>
      </c>
      <c r="AM617" t="b">
        <v>0</v>
      </c>
    </row>
    <row r="618" spans="1:39">
      <c r="A618" t="s">
        <v>1416</v>
      </c>
      <c r="B618" t="b">
        <v>1</v>
      </c>
      <c r="C618">
        <v>103055</v>
      </c>
      <c r="D618" t="s">
        <v>413</v>
      </c>
      <c r="E618" t="s">
        <v>414</v>
      </c>
      <c r="F618" t="s">
        <v>488</v>
      </c>
      <c r="G618" t="s">
        <v>489</v>
      </c>
      <c r="H618" t="s">
        <v>41</v>
      </c>
      <c r="I618">
        <v>1</v>
      </c>
      <c r="J618" s="4">
        <v>40968</v>
      </c>
      <c r="K618" s="4">
        <v>40968</v>
      </c>
      <c r="L618" s="5">
        <v>0.68055555555555558</v>
      </c>
      <c r="M618" s="5">
        <v>0.69444444444444442</v>
      </c>
      <c r="N618">
        <v>55.547759999999997</v>
      </c>
      <c r="O618">
        <v>13.86754</v>
      </c>
      <c r="P618">
        <v>428550</v>
      </c>
      <c r="Q618">
        <v>6156331</v>
      </c>
      <c r="R618" t="s">
        <v>490</v>
      </c>
      <c r="S618">
        <v>627</v>
      </c>
      <c r="T618" t="s">
        <v>541</v>
      </c>
      <c r="U618" t="s">
        <v>525</v>
      </c>
      <c r="V618" t="s">
        <v>504</v>
      </c>
      <c r="W618" t="s">
        <v>494</v>
      </c>
      <c r="X618" t="s">
        <v>494</v>
      </c>
      <c r="Y618" t="s">
        <v>1225</v>
      </c>
      <c r="Z618">
        <v>2</v>
      </c>
      <c r="AA618">
        <v>2</v>
      </c>
      <c r="AE618" t="s">
        <v>42</v>
      </c>
      <c r="AF618" t="s">
        <v>496</v>
      </c>
      <c r="AG618" t="b">
        <v>0</v>
      </c>
      <c r="AH618" t="b">
        <v>0</v>
      </c>
      <c r="AI618" t="b">
        <v>0</v>
      </c>
      <c r="AK618" t="s">
        <v>497</v>
      </c>
      <c r="AL618" t="b">
        <v>0</v>
      </c>
      <c r="AM618" t="b">
        <v>0</v>
      </c>
    </row>
    <row r="619" spans="1:39">
      <c r="A619" t="s">
        <v>1417</v>
      </c>
      <c r="B619" t="b">
        <v>1</v>
      </c>
      <c r="C619">
        <v>103037</v>
      </c>
      <c r="D619" t="s">
        <v>368</v>
      </c>
      <c r="E619" t="s">
        <v>369</v>
      </c>
      <c r="F619" t="s">
        <v>488</v>
      </c>
      <c r="G619" t="s">
        <v>489</v>
      </c>
      <c r="H619" t="s">
        <v>85</v>
      </c>
      <c r="I619">
        <v>1</v>
      </c>
      <c r="J619" s="4">
        <v>40678</v>
      </c>
      <c r="K619" s="4">
        <v>40678</v>
      </c>
      <c r="L619" s="5">
        <v>0</v>
      </c>
      <c r="M619" s="5">
        <v>0</v>
      </c>
      <c r="N619">
        <v>55.555309999999999</v>
      </c>
      <c r="O619">
        <v>13.8569</v>
      </c>
      <c r="P619">
        <v>427893</v>
      </c>
      <c r="Q619">
        <v>6157182</v>
      </c>
      <c r="R619" t="s">
        <v>490</v>
      </c>
      <c r="S619">
        <v>140</v>
      </c>
      <c r="T619" t="s">
        <v>491</v>
      </c>
      <c r="U619" t="s">
        <v>492</v>
      </c>
      <c r="V619" t="s">
        <v>493</v>
      </c>
      <c r="W619" t="s">
        <v>494</v>
      </c>
      <c r="X619" t="s">
        <v>494</v>
      </c>
      <c r="Y619" t="s">
        <v>495</v>
      </c>
      <c r="Z619">
        <v>2</v>
      </c>
      <c r="AA619">
        <v>2</v>
      </c>
      <c r="AD619" t="s">
        <v>527</v>
      </c>
      <c r="AE619" t="s">
        <v>884</v>
      </c>
      <c r="AF619" t="s">
        <v>496</v>
      </c>
      <c r="AG619" t="b">
        <v>0</v>
      </c>
      <c r="AH619" t="b">
        <v>0</v>
      </c>
      <c r="AI619" t="b">
        <v>0</v>
      </c>
      <c r="AK619" t="s">
        <v>497</v>
      </c>
      <c r="AL619" t="b">
        <v>0</v>
      </c>
      <c r="AM619" t="b">
        <v>0</v>
      </c>
    </row>
    <row r="620" spans="1:39">
      <c r="A620" t="s">
        <v>1418</v>
      </c>
      <c r="B620" t="b">
        <v>1</v>
      </c>
      <c r="C620">
        <v>102626</v>
      </c>
      <c r="D620" t="s">
        <v>318</v>
      </c>
      <c r="E620" t="s">
        <v>319</v>
      </c>
      <c r="F620" t="s">
        <v>488</v>
      </c>
      <c r="G620" t="s">
        <v>489</v>
      </c>
      <c r="H620" t="s">
        <v>46</v>
      </c>
      <c r="I620">
        <v>1</v>
      </c>
      <c r="J620" s="4">
        <v>40335</v>
      </c>
      <c r="K620" s="4">
        <v>40335</v>
      </c>
      <c r="L620" s="5">
        <v>0</v>
      </c>
      <c r="M620" s="5">
        <v>0</v>
      </c>
      <c r="N620">
        <v>55.555309999999999</v>
      </c>
      <c r="O620">
        <v>13.8569</v>
      </c>
      <c r="P620">
        <v>427893</v>
      </c>
      <c r="Q620">
        <v>6157182</v>
      </c>
      <c r="R620" t="s">
        <v>490</v>
      </c>
      <c r="S620">
        <v>140</v>
      </c>
      <c r="T620" t="s">
        <v>491</v>
      </c>
      <c r="U620" t="s">
        <v>492</v>
      </c>
      <c r="V620" t="s">
        <v>493</v>
      </c>
      <c r="W620" t="s">
        <v>494</v>
      </c>
      <c r="X620" t="s">
        <v>494</v>
      </c>
      <c r="Y620" t="s">
        <v>495</v>
      </c>
      <c r="Z620">
        <v>2</v>
      </c>
      <c r="AA620">
        <v>2</v>
      </c>
      <c r="AC620" t="s">
        <v>512</v>
      </c>
      <c r="AD620" t="s">
        <v>527</v>
      </c>
      <c r="AE620" t="s">
        <v>51</v>
      </c>
      <c r="AF620" t="s">
        <v>496</v>
      </c>
      <c r="AG620" t="b">
        <v>0</v>
      </c>
      <c r="AH620" t="b">
        <v>0</v>
      </c>
      <c r="AI620" t="b">
        <v>0</v>
      </c>
      <c r="AK620" t="s">
        <v>497</v>
      </c>
      <c r="AL620" t="b">
        <v>0</v>
      </c>
      <c r="AM620" t="b">
        <v>0</v>
      </c>
    </row>
    <row r="621" spans="1:39">
      <c r="A621" t="s">
        <v>1419</v>
      </c>
      <c r="B621" t="b">
        <v>1</v>
      </c>
      <c r="C621">
        <v>103037</v>
      </c>
      <c r="D621" t="s">
        <v>368</v>
      </c>
      <c r="E621" t="s">
        <v>369</v>
      </c>
      <c r="F621" t="s">
        <v>488</v>
      </c>
      <c r="G621" t="s">
        <v>489</v>
      </c>
      <c r="H621" t="s">
        <v>85</v>
      </c>
      <c r="I621">
        <v>1</v>
      </c>
      <c r="J621" s="4">
        <v>42464</v>
      </c>
      <c r="K621" s="4">
        <v>42464</v>
      </c>
      <c r="L621" s="5">
        <v>0.54166666666666663</v>
      </c>
      <c r="M621" s="5">
        <v>0.58333333333333337</v>
      </c>
      <c r="N621">
        <v>55.536960000000001</v>
      </c>
      <c r="O621">
        <v>13.96353</v>
      </c>
      <c r="P621">
        <v>434588</v>
      </c>
      <c r="Q621">
        <v>6155035</v>
      </c>
      <c r="R621" t="s">
        <v>490</v>
      </c>
      <c r="S621">
        <v>150</v>
      </c>
      <c r="T621" t="s">
        <v>1378</v>
      </c>
      <c r="U621" t="s">
        <v>508</v>
      </c>
      <c r="V621" t="s">
        <v>504</v>
      </c>
      <c r="W621" t="s">
        <v>494</v>
      </c>
      <c r="X621" t="s">
        <v>494</v>
      </c>
      <c r="Y621" t="s">
        <v>1420</v>
      </c>
      <c r="Z621">
        <v>1</v>
      </c>
      <c r="AA621">
        <v>1</v>
      </c>
      <c r="AE621" t="s">
        <v>42</v>
      </c>
      <c r="AF621" t="s">
        <v>496</v>
      </c>
      <c r="AG621" t="b">
        <v>0</v>
      </c>
      <c r="AH621" t="b">
        <v>0</v>
      </c>
      <c r="AI621" t="b">
        <v>0</v>
      </c>
      <c r="AK621" t="s">
        <v>497</v>
      </c>
      <c r="AL621" t="b">
        <v>0</v>
      </c>
      <c r="AM621" t="b">
        <v>0</v>
      </c>
    </row>
    <row r="622" spans="1:39">
      <c r="A622" t="s">
        <v>1421</v>
      </c>
      <c r="B622" t="b">
        <v>1</v>
      </c>
      <c r="C622">
        <v>103055</v>
      </c>
      <c r="D622" t="s">
        <v>413</v>
      </c>
      <c r="E622" t="s">
        <v>414</v>
      </c>
      <c r="F622" t="s">
        <v>488</v>
      </c>
      <c r="G622" t="s">
        <v>489</v>
      </c>
      <c r="H622" t="s">
        <v>41</v>
      </c>
      <c r="I622">
        <v>1</v>
      </c>
      <c r="J622" s="4">
        <v>42813</v>
      </c>
      <c r="K622" s="4">
        <v>42813</v>
      </c>
      <c r="N622">
        <v>55.530740000000002</v>
      </c>
      <c r="O622">
        <v>13.879630000000001</v>
      </c>
      <c r="P622">
        <v>429282</v>
      </c>
      <c r="Q622">
        <v>6154424</v>
      </c>
      <c r="R622" t="s">
        <v>490</v>
      </c>
      <c r="S622">
        <v>310</v>
      </c>
      <c r="T622" t="s">
        <v>499</v>
      </c>
      <c r="U622" t="s">
        <v>492</v>
      </c>
      <c r="V622" t="s">
        <v>493</v>
      </c>
      <c r="W622" t="s">
        <v>494</v>
      </c>
      <c r="X622" t="s">
        <v>494</v>
      </c>
      <c r="Y622" t="s">
        <v>1387</v>
      </c>
      <c r="Z622">
        <v>1</v>
      </c>
      <c r="AA622">
        <v>1</v>
      </c>
      <c r="AE622" t="s">
        <v>42</v>
      </c>
      <c r="AF622" t="s">
        <v>496</v>
      </c>
      <c r="AG622" t="b">
        <v>0</v>
      </c>
      <c r="AH622" t="b">
        <v>0</v>
      </c>
      <c r="AI622" t="b">
        <v>0</v>
      </c>
      <c r="AK622" t="s">
        <v>497</v>
      </c>
      <c r="AL622" t="b">
        <v>0</v>
      </c>
      <c r="AM622" t="b">
        <v>0</v>
      </c>
    </row>
    <row r="623" spans="1:39">
      <c r="A623" t="s">
        <v>1422</v>
      </c>
      <c r="B623" t="b">
        <v>1</v>
      </c>
      <c r="C623">
        <v>100049</v>
      </c>
      <c r="D623" t="s">
        <v>295</v>
      </c>
      <c r="E623" t="s">
        <v>296</v>
      </c>
      <c r="F623" t="s">
        <v>488</v>
      </c>
      <c r="G623" t="s">
        <v>489</v>
      </c>
      <c r="H623" t="s">
        <v>46</v>
      </c>
      <c r="I623">
        <v>1</v>
      </c>
      <c r="J623" s="4">
        <v>42855</v>
      </c>
      <c r="K623" s="4">
        <v>42855</v>
      </c>
      <c r="L623" s="5">
        <v>0.49305555555555558</v>
      </c>
      <c r="M623" s="5">
        <v>0.63541666666666663</v>
      </c>
      <c r="N623">
        <v>55.530740000000002</v>
      </c>
      <c r="O623">
        <v>13.879630000000001</v>
      </c>
      <c r="P623">
        <v>429282</v>
      </c>
      <c r="Q623">
        <v>6154424</v>
      </c>
      <c r="R623" t="s">
        <v>490</v>
      </c>
      <c r="S623">
        <v>310</v>
      </c>
      <c r="T623" t="s">
        <v>499</v>
      </c>
      <c r="U623" t="s">
        <v>492</v>
      </c>
      <c r="V623" t="s">
        <v>493</v>
      </c>
      <c r="W623" t="s">
        <v>494</v>
      </c>
      <c r="X623" t="s">
        <v>494</v>
      </c>
      <c r="Y623" t="s">
        <v>1423</v>
      </c>
      <c r="Z623">
        <v>1</v>
      </c>
      <c r="AA623">
        <v>1</v>
      </c>
      <c r="AE623" t="s">
        <v>42</v>
      </c>
      <c r="AF623" t="s">
        <v>496</v>
      </c>
      <c r="AG623" t="b">
        <v>0</v>
      </c>
      <c r="AH623" t="b">
        <v>0</v>
      </c>
      <c r="AI623" t="b">
        <v>0</v>
      </c>
      <c r="AK623" t="s">
        <v>497</v>
      </c>
      <c r="AL623" t="b">
        <v>0</v>
      </c>
      <c r="AM623" t="b">
        <v>0</v>
      </c>
    </row>
    <row r="624" spans="1:39">
      <c r="A624" t="s">
        <v>1424</v>
      </c>
      <c r="B624" t="b">
        <v>1</v>
      </c>
      <c r="C624">
        <v>103055</v>
      </c>
      <c r="D624" t="s">
        <v>413</v>
      </c>
      <c r="E624" t="s">
        <v>414</v>
      </c>
      <c r="F624" t="s">
        <v>488</v>
      </c>
      <c r="G624" t="s">
        <v>489</v>
      </c>
      <c r="H624" t="s">
        <v>41</v>
      </c>
      <c r="I624">
        <v>1</v>
      </c>
      <c r="J624" s="4">
        <v>42125</v>
      </c>
      <c r="K624" s="4">
        <v>42125</v>
      </c>
      <c r="L624" s="5">
        <v>0.59027777777777779</v>
      </c>
      <c r="M624" s="5">
        <v>0.63194444444444442</v>
      </c>
      <c r="N624">
        <v>55.525750000000002</v>
      </c>
      <c r="O624">
        <v>13.88649</v>
      </c>
      <c r="P624">
        <v>429706</v>
      </c>
      <c r="Q624">
        <v>6153862</v>
      </c>
      <c r="R624" t="s">
        <v>490</v>
      </c>
      <c r="S624">
        <v>311</v>
      </c>
      <c r="T624" t="s">
        <v>515</v>
      </c>
      <c r="U624" t="s">
        <v>516</v>
      </c>
      <c r="V624" t="s">
        <v>493</v>
      </c>
      <c r="W624" t="s">
        <v>494</v>
      </c>
      <c r="X624" t="s">
        <v>494</v>
      </c>
      <c r="Y624" t="s">
        <v>1205</v>
      </c>
      <c r="Z624">
        <v>1</v>
      </c>
      <c r="AA624">
        <v>1</v>
      </c>
      <c r="AE624" t="s">
        <v>42</v>
      </c>
      <c r="AF624" t="s">
        <v>496</v>
      </c>
      <c r="AG624" t="b">
        <v>0</v>
      </c>
      <c r="AH624" t="b">
        <v>0</v>
      </c>
      <c r="AI624" t="b">
        <v>0</v>
      </c>
      <c r="AK624" t="s">
        <v>497</v>
      </c>
      <c r="AL624" t="b">
        <v>0</v>
      </c>
      <c r="AM624" t="b">
        <v>0</v>
      </c>
    </row>
    <row r="625" spans="1:39">
      <c r="A625" t="s">
        <v>1425</v>
      </c>
      <c r="B625" t="b">
        <v>1</v>
      </c>
      <c r="C625">
        <v>103037</v>
      </c>
      <c r="D625" t="s">
        <v>368</v>
      </c>
      <c r="E625" t="s">
        <v>369</v>
      </c>
      <c r="F625" t="s">
        <v>488</v>
      </c>
      <c r="G625" t="s">
        <v>489</v>
      </c>
      <c r="H625" t="s">
        <v>85</v>
      </c>
      <c r="I625">
        <v>1</v>
      </c>
      <c r="J625" s="4">
        <v>41705</v>
      </c>
      <c r="K625" s="4">
        <v>41705</v>
      </c>
      <c r="L625" s="5">
        <v>0</v>
      </c>
      <c r="M625" s="5">
        <v>0</v>
      </c>
      <c r="N625">
        <v>55.555309999999999</v>
      </c>
      <c r="O625">
        <v>13.8569</v>
      </c>
      <c r="P625">
        <v>427893</v>
      </c>
      <c r="Q625">
        <v>6157182</v>
      </c>
      <c r="R625" t="s">
        <v>490</v>
      </c>
      <c r="S625">
        <v>140</v>
      </c>
      <c r="T625" t="s">
        <v>491</v>
      </c>
      <c r="U625" t="s">
        <v>492</v>
      </c>
      <c r="V625" t="s">
        <v>493</v>
      </c>
      <c r="W625" t="s">
        <v>494</v>
      </c>
      <c r="X625" t="s">
        <v>494</v>
      </c>
      <c r="Y625" t="s">
        <v>495</v>
      </c>
      <c r="Z625">
        <v>4</v>
      </c>
      <c r="AA625">
        <v>4</v>
      </c>
      <c r="AE625" t="s">
        <v>42</v>
      </c>
      <c r="AF625" t="s">
        <v>496</v>
      </c>
      <c r="AG625" t="b">
        <v>0</v>
      </c>
      <c r="AH625" t="b">
        <v>0</v>
      </c>
      <c r="AI625" t="b">
        <v>0</v>
      </c>
      <c r="AK625" t="s">
        <v>497</v>
      </c>
      <c r="AL625" t="b">
        <v>0</v>
      </c>
      <c r="AM625" t="b">
        <v>0</v>
      </c>
    </row>
    <row r="626" spans="1:39">
      <c r="A626" t="s">
        <v>1426</v>
      </c>
      <c r="B626" t="b">
        <v>1</v>
      </c>
      <c r="C626">
        <v>102626</v>
      </c>
      <c r="D626" t="s">
        <v>318</v>
      </c>
      <c r="E626" t="s">
        <v>319</v>
      </c>
      <c r="F626" t="s">
        <v>488</v>
      </c>
      <c r="G626" t="s">
        <v>489</v>
      </c>
      <c r="H626" t="s">
        <v>46</v>
      </c>
      <c r="I626">
        <v>1</v>
      </c>
      <c r="J626" s="4">
        <v>41420</v>
      </c>
      <c r="K626" s="4">
        <v>41420</v>
      </c>
      <c r="L626" s="5">
        <v>0.82638888888888884</v>
      </c>
      <c r="M626" s="5">
        <v>0.85416666666666663</v>
      </c>
      <c r="N626">
        <v>55.527650000000001</v>
      </c>
      <c r="O626">
        <v>13.900119999999999</v>
      </c>
      <c r="P626">
        <v>430570</v>
      </c>
      <c r="Q626">
        <v>6154060</v>
      </c>
      <c r="R626" t="s">
        <v>490</v>
      </c>
      <c r="S626">
        <v>250</v>
      </c>
      <c r="T626" t="s">
        <v>578</v>
      </c>
      <c r="U626" t="s">
        <v>525</v>
      </c>
      <c r="V626" t="s">
        <v>504</v>
      </c>
      <c r="W626" t="s">
        <v>494</v>
      </c>
      <c r="X626" t="s">
        <v>494</v>
      </c>
      <c r="Y626" t="s">
        <v>581</v>
      </c>
      <c r="Z626">
        <v>1</v>
      </c>
      <c r="AA626">
        <v>1</v>
      </c>
      <c r="AD626" t="s">
        <v>510</v>
      </c>
      <c r="AE626" t="s">
        <v>538</v>
      </c>
      <c r="AF626" t="s">
        <v>496</v>
      </c>
      <c r="AG626" t="b">
        <v>0</v>
      </c>
      <c r="AH626" t="b">
        <v>0</v>
      </c>
      <c r="AI626" t="b">
        <v>0</v>
      </c>
      <c r="AK626" t="s">
        <v>497</v>
      </c>
      <c r="AL626" t="b">
        <v>0</v>
      </c>
      <c r="AM626" t="b">
        <v>0</v>
      </c>
    </row>
    <row r="627" spans="1:39">
      <c r="A627" t="s">
        <v>1427</v>
      </c>
      <c r="B627" t="b">
        <v>1</v>
      </c>
      <c r="C627">
        <v>102930</v>
      </c>
      <c r="D627" t="s">
        <v>86</v>
      </c>
      <c r="E627" t="s">
        <v>87</v>
      </c>
      <c r="F627" t="s">
        <v>488</v>
      </c>
      <c r="G627" t="s">
        <v>489</v>
      </c>
      <c r="H627" t="s">
        <v>41</v>
      </c>
      <c r="I627">
        <v>1</v>
      </c>
      <c r="J627" s="4">
        <v>43560</v>
      </c>
      <c r="K627" s="4">
        <v>43560</v>
      </c>
      <c r="L627" s="5">
        <v>0.52083333333333337</v>
      </c>
      <c r="M627" s="5">
        <v>0.58333333333333337</v>
      </c>
      <c r="N627">
        <v>55.530740000000002</v>
      </c>
      <c r="O627">
        <v>13.879630000000001</v>
      </c>
      <c r="P627">
        <v>429282</v>
      </c>
      <c r="Q627">
        <v>6154424</v>
      </c>
      <c r="R627" t="s">
        <v>490</v>
      </c>
      <c r="S627">
        <v>310</v>
      </c>
      <c r="T627" t="s">
        <v>499</v>
      </c>
      <c r="U627" t="s">
        <v>492</v>
      </c>
      <c r="V627" t="s">
        <v>493</v>
      </c>
      <c r="W627" t="s">
        <v>494</v>
      </c>
      <c r="X627" t="s">
        <v>494</v>
      </c>
      <c r="Y627" t="s">
        <v>603</v>
      </c>
      <c r="Z627">
        <v>2</v>
      </c>
      <c r="AA627">
        <v>2</v>
      </c>
      <c r="AE627" t="s">
        <v>538</v>
      </c>
      <c r="AF627" t="s">
        <v>496</v>
      </c>
      <c r="AG627" t="b">
        <v>0</v>
      </c>
      <c r="AH627" t="b">
        <v>0</v>
      </c>
      <c r="AI627" t="b">
        <v>0</v>
      </c>
      <c r="AK627" t="s">
        <v>497</v>
      </c>
      <c r="AL627" t="b">
        <v>0</v>
      </c>
      <c r="AM627" t="b">
        <v>0</v>
      </c>
    </row>
    <row r="628" spans="1:39">
      <c r="A628" t="s">
        <v>1428</v>
      </c>
      <c r="B628" t="b">
        <v>1</v>
      </c>
      <c r="C628">
        <v>102993</v>
      </c>
      <c r="D628" t="s">
        <v>384</v>
      </c>
      <c r="E628" t="s">
        <v>385</v>
      </c>
      <c r="F628" t="s">
        <v>488</v>
      </c>
      <c r="G628" t="s">
        <v>489</v>
      </c>
      <c r="H628" t="s">
        <v>85</v>
      </c>
      <c r="I628">
        <v>1</v>
      </c>
      <c r="J628" s="4">
        <v>43564</v>
      </c>
      <c r="K628" s="4">
        <v>43564</v>
      </c>
      <c r="L628" s="5">
        <v>0.30833333333333335</v>
      </c>
      <c r="M628" s="5">
        <v>0.30833333333333335</v>
      </c>
      <c r="N628">
        <v>55.54889</v>
      </c>
      <c r="O628">
        <v>13.96129</v>
      </c>
      <c r="P628">
        <v>434467</v>
      </c>
      <c r="Q628">
        <v>6156364</v>
      </c>
      <c r="R628" t="s">
        <v>490</v>
      </c>
      <c r="S628">
        <v>25</v>
      </c>
      <c r="T628" t="s">
        <v>1429</v>
      </c>
      <c r="U628" t="s">
        <v>508</v>
      </c>
      <c r="V628" t="s">
        <v>504</v>
      </c>
      <c r="W628" t="s">
        <v>494</v>
      </c>
      <c r="X628" t="s">
        <v>494</v>
      </c>
      <c r="Y628" t="s">
        <v>581</v>
      </c>
      <c r="Z628">
        <v>1</v>
      </c>
      <c r="AA628">
        <v>1</v>
      </c>
      <c r="AD628" t="s">
        <v>510</v>
      </c>
      <c r="AE628" t="s">
        <v>42</v>
      </c>
      <c r="AF628" t="s">
        <v>496</v>
      </c>
      <c r="AG628" t="b">
        <v>0</v>
      </c>
      <c r="AH628" t="b">
        <v>0</v>
      </c>
      <c r="AI628" t="b">
        <v>0</v>
      </c>
      <c r="AK628" t="s">
        <v>497</v>
      </c>
      <c r="AL628" t="b">
        <v>0</v>
      </c>
      <c r="AM628" t="b">
        <v>0</v>
      </c>
    </row>
    <row r="629" spans="1:39">
      <c r="A629" t="s">
        <v>1430</v>
      </c>
      <c r="B629" t="b">
        <v>1</v>
      </c>
      <c r="C629">
        <v>102990</v>
      </c>
      <c r="D629" t="s">
        <v>39</v>
      </c>
      <c r="E629" t="s">
        <v>40</v>
      </c>
      <c r="F629" t="s">
        <v>488</v>
      </c>
      <c r="G629" t="s">
        <v>489</v>
      </c>
      <c r="H629" t="s">
        <v>41</v>
      </c>
      <c r="I629">
        <v>1</v>
      </c>
      <c r="J629" s="4">
        <v>43558</v>
      </c>
      <c r="K629" s="4">
        <v>43558</v>
      </c>
      <c r="L629" s="5">
        <v>0.38541666666666669</v>
      </c>
      <c r="M629" s="5">
        <v>0.42708333333333331</v>
      </c>
      <c r="N629">
        <v>55.5351</v>
      </c>
      <c r="O629">
        <v>13.95862</v>
      </c>
      <c r="P629">
        <v>434276</v>
      </c>
      <c r="Q629">
        <v>6154832</v>
      </c>
      <c r="R629" t="s">
        <v>490</v>
      </c>
      <c r="S629">
        <v>400</v>
      </c>
      <c r="T629" t="s">
        <v>563</v>
      </c>
      <c r="U629" t="s">
        <v>508</v>
      </c>
      <c r="V629" t="s">
        <v>504</v>
      </c>
      <c r="W629" t="s">
        <v>494</v>
      </c>
      <c r="X629" t="s">
        <v>494</v>
      </c>
      <c r="Y629" t="s">
        <v>536</v>
      </c>
      <c r="AE629" t="s">
        <v>42</v>
      </c>
      <c r="AF629" t="s">
        <v>496</v>
      </c>
      <c r="AG629" t="b">
        <v>0</v>
      </c>
      <c r="AH629" t="b">
        <v>0</v>
      </c>
      <c r="AI629" t="b">
        <v>0</v>
      </c>
      <c r="AK629" t="s">
        <v>497</v>
      </c>
      <c r="AL629" t="b">
        <v>0</v>
      </c>
      <c r="AM629" t="b">
        <v>0</v>
      </c>
    </row>
    <row r="630" spans="1:39">
      <c r="A630" t="s">
        <v>1431</v>
      </c>
      <c r="B630" t="b">
        <v>1</v>
      </c>
      <c r="C630">
        <v>102990</v>
      </c>
      <c r="D630" t="s">
        <v>39</v>
      </c>
      <c r="E630" t="s">
        <v>40</v>
      </c>
      <c r="F630" t="s">
        <v>488</v>
      </c>
      <c r="G630" t="s">
        <v>489</v>
      </c>
      <c r="H630" t="s">
        <v>41</v>
      </c>
      <c r="I630">
        <v>1</v>
      </c>
      <c r="J630" s="4">
        <v>43608</v>
      </c>
      <c r="K630" s="4">
        <v>43608</v>
      </c>
      <c r="L630" s="5">
        <v>0.34027777777777779</v>
      </c>
      <c r="M630" s="5">
        <v>0.4513888888888889</v>
      </c>
      <c r="N630">
        <v>55.527650000000001</v>
      </c>
      <c r="O630">
        <v>13.900119999999999</v>
      </c>
      <c r="P630">
        <v>430570</v>
      </c>
      <c r="Q630">
        <v>6154060</v>
      </c>
      <c r="R630" t="s">
        <v>490</v>
      </c>
      <c r="S630">
        <v>250</v>
      </c>
      <c r="T630" t="s">
        <v>578</v>
      </c>
      <c r="U630" t="s">
        <v>525</v>
      </c>
      <c r="V630" t="s">
        <v>504</v>
      </c>
      <c r="W630" t="s">
        <v>494</v>
      </c>
      <c r="X630" t="s">
        <v>494</v>
      </c>
      <c r="Y630" t="s">
        <v>588</v>
      </c>
      <c r="Z630">
        <v>1</v>
      </c>
      <c r="AA630">
        <v>1</v>
      </c>
      <c r="AE630" t="s">
        <v>42</v>
      </c>
      <c r="AF630" t="s">
        <v>496</v>
      </c>
      <c r="AG630" t="b">
        <v>0</v>
      </c>
      <c r="AH630" t="b">
        <v>0</v>
      </c>
      <c r="AI630" t="b">
        <v>0</v>
      </c>
      <c r="AK630" t="s">
        <v>497</v>
      </c>
      <c r="AL630" t="b">
        <v>0</v>
      </c>
      <c r="AM630" t="b">
        <v>0</v>
      </c>
    </row>
    <row r="631" spans="1:39">
      <c r="A631" t="s">
        <v>1432</v>
      </c>
      <c r="B631" t="b">
        <v>1</v>
      </c>
      <c r="C631">
        <v>102990</v>
      </c>
      <c r="D631" t="s">
        <v>39</v>
      </c>
      <c r="E631" t="s">
        <v>40</v>
      </c>
      <c r="F631" t="s">
        <v>488</v>
      </c>
      <c r="G631" t="s">
        <v>489</v>
      </c>
      <c r="H631" t="s">
        <v>41</v>
      </c>
      <c r="I631">
        <v>1</v>
      </c>
      <c r="J631" s="4">
        <v>43616</v>
      </c>
      <c r="K631" s="4">
        <v>43616</v>
      </c>
      <c r="L631" s="5">
        <v>0.58333333333333337</v>
      </c>
      <c r="M631" s="5">
        <v>0.64583333333333337</v>
      </c>
      <c r="N631">
        <v>55.547759999999997</v>
      </c>
      <c r="O631">
        <v>13.86754</v>
      </c>
      <c r="P631">
        <v>428550</v>
      </c>
      <c r="Q631">
        <v>6156331</v>
      </c>
      <c r="R631" t="s">
        <v>490</v>
      </c>
      <c r="S631">
        <v>627</v>
      </c>
      <c r="T631" t="s">
        <v>541</v>
      </c>
      <c r="U631" t="s">
        <v>525</v>
      </c>
      <c r="V631" t="s">
        <v>504</v>
      </c>
      <c r="W631" t="s">
        <v>494</v>
      </c>
      <c r="X631" t="s">
        <v>494</v>
      </c>
      <c r="Y631" t="s">
        <v>1433</v>
      </c>
      <c r="Z631">
        <v>1</v>
      </c>
      <c r="AA631">
        <v>1</v>
      </c>
      <c r="AE631" t="s">
        <v>42</v>
      </c>
      <c r="AF631" t="s">
        <v>496</v>
      </c>
      <c r="AG631" t="b">
        <v>0</v>
      </c>
      <c r="AH631" t="b">
        <v>0</v>
      </c>
      <c r="AI631" t="b">
        <v>0</v>
      </c>
      <c r="AK631" t="s">
        <v>497</v>
      </c>
      <c r="AL631" t="b">
        <v>0</v>
      </c>
      <c r="AM631" t="b">
        <v>0</v>
      </c>
    </row>
    <row r="632" spans="1:39">
      <c r="A632" t="s">
        <v>1434</v>
      </c>
      <c r="B632" t="b">
        <v>1</v>
      </c>
      <c r="C632">
        <v>102993</v>
      </c>
      <c r="D632" t="s">
        <v>384</v>
      </c>
      <c r="E632" t="s">
        <v>385</v>
      </c>
      <c r="F632" t="s">
        <v>488</v>
      </c>
      <c r="G632" t="s">
        <v>489</v>
      </c>
      <c r="H632" t="s">
        <v>85</v>
      </c>
      <c r="I632">
        <v>1</v>
      </c>
      <c r="J632" s="4">
        <v>43673</v>
      </c>
      <c r="K632" s="4">
        <v>43673</v>
      </c>
      <c r="N632">
        <v>55.550629999999998</v>
      </c>
      <c r="O632">
        <v>13.950979999999999</v>
      </c>
      <c r="P632">
        <v>433819</v>
      </c>
      <c r="Q632">
        <v>6156567</v>
      </c>
      <c r="R632" t="s">
        <v>490</v>
      </c>
      <c r="S632">
        <v>250</v>
      </c>
      <c r="T632" t="s">
        <v>1435</v>
      </c>
      <c r="U632" t="s">
        <v>508</v>
      </c>
      <c r="V632" t="s">
        <v>504</v>
      </c>
      <c r="W632" t="s">
        <v>494</v>
      </c>
      <c r="X632" t="s">
        <v>494</v>
      </c>
      <c r="Y632" t="s">
        <v>1436</v>
      </c>
      <c r="Z632">
        <v>1</v>
      </c>
      <c r="AA632">
        <v>1</v>
      </c>
      <c r="AE632" t="s">
        <v>538</v>
      </c>
      <c r="AF632" t="s">
        <v>496</v>
      </c>
      <c r="AG632" t="b">
        <v>0</v>
      </c>
      <c r="AH632" t="b">
        <v>0</v>
      </c>
      <c r="AI632" t="b">
        <v>0</v>
      </c>
      <c r="AK632" t="s">
        <v>497</v>
      </c>
      <c r="AL632" t="b">
        <v>0</v>
      </c>
      <c r="AM632" t="b">
        <v>0</v>
      </c>
    </row>
    <row r="633" spans="1:39">
      <c r="A633" t="s">
        <v>1437</v>
      </c>
      <c r="B633" t="b">
        <v>1</v>
      </c>
      <c r="C633">
        <v>102990</v>
      </c>
      <c r="D633" t="s">
        <v>39</v>
      </c>
      <c r="E633" t="s">
        <v>40</v>
      </c>
      <c r="F633" t="s">
        <v>488</v>
      </c>
      <c r="G633" t="s">
        <v>489</v>
      </c>
      <c r="H633" t="s">
        <v>41</v>
      </c>
      <c r="I633">
        <v>1</v>
      </c>
      <c r="J633" s="4">
        <v>43216</v>
      </c>
      <c r="K633" s="4">
        <v>43216</v>
      </c>
      <c r="L633" s="5">
        <v>0.35416666666666669</v>
      </c>
      <c r="M633" s="5">
        <v>0.375</v>
      </c>
      <c r="N633">
        <v>55.530740000000002</v>
      </c>
      <c r="O633">
        <v>13.879630000000001</v>
      </c>
      <c r="P633">
        <v>429282</v>
      </c>
      <c r="Q633">
        <v>6154424</v>
      </c>
      <c r="R633" t="s">
        <v>490</v>
      </c>
      <c r="S633">
        <v>310</v>
      </c>
      <c r="T633" t="s">
        <v>499</v>
      </c>
      <c r="U633" t="s">
        <v>492</v>
      </c>
      <c r="V633" t="s">
        <v>493</v>
      </c>
      <c r="W633" t="s">
        <v>494</v>
      </c>
      <c r="X633" t="s">
        <v>494</v>
      </c>
      <c r="Y633" t="s">
        <v>1438</v>
      </c>
      <c r="Z633">
        <v>1</v>
      </c>
      <c r="AA633">
        <v>1</v>
      </c>
      <c r="AE633" t="s">
        <v>42</v>
      </c>
      <c r="AF633" t="s">
        <v>496</v>
      </c>
      <c r="AG633" t="b">
        <v>0</v>
      </c>
      <c r="AH633" t="b">
        <v>0</v>
      </c>
      <c r="AI633" t="b">
        <v>0</v>
      </c>
      <c r="AK633" t="s">
        <v>497</v>
      </c>
      <c r="AL633" t="b">
        <v>0</v>
      </c>
      <c r="AM633" t="b">
        <v>0</v>
      </c>
    </row>
    <row r="634" spans="1:39">
      <c r="A634" t="s">
        <v>1439</v>
      </c>
      <c r="B634" t="b">
        <v>1</v>
      </c>
      <c r="C634">
        <v>102932</v>
      </c>
      <c r="D634" t="s">
        <v>116</v>
      </c>
      <c r="E634" t="s">
        <v>117</v>
      </c>
      <c r="F634" t="s">
        <v>488</v>
      </c>
      <c r="G634" t="s">
        <v>489</v>
      </c>
      <c r="H634" t="s">
        <v>41</v>
      </c>
      <c r="I634">
        <v>1</v>
      </c>
      <c r="J634" s="4">
        <v>43907</v>
      </c>
      <c r="K634" s="4">
        <v>43907</v>
      </c>
      <c r="L634" s="5">
        <v>0.375</v>
      </c>
      <c r="M634" s="5">
        <v>0.46875</v>
      </c>
      <c r="N634">
        <v>55.5351</v>
      </c>
      <c r="O634">
        <v>13.95862</v>
      </c>
      <c r="P634">
        <v>434276</v>
      </c>
      <c r="Q634">
        <v>6154832</v>
      </c>
      <c r="R634" t="s">
        <v>490</v>
      </c>
      <c r="S634">
        <v>400</v>
      </c>
      <c r="T634" t="s">
        <v>563</v>
      </c>
      <c r="U634" t="s">
        <v>508</v>
      </c>
      <c r="V634" t="s">
        <v>504</v>
      </c>
      <c r="W634" t="s">
        <v>494</v>
      </c>
      <c r="X634" t="s">
        <v>494</v>
      </c>
      <c r="Y634" t="s">
        <v>536</v>
      </c>
      <c r="Z634">
        <v>7</v>
      </c>
      <c r="AA634">
        <v>7</v>
      </c>
      <c r="AE634" t="s">
        <v>538</v>
      </c>
      <c r="AF634" t="s">
        <v>496</v>
      </c>
      <c r="AG634" t="b">
        <v>0</v>
      </c>
      <c r="AH634" t="b">
        <v>0</v>
      </c>
      <c r="AI634" t="b">
        <v>0</v>
      </c>
      <c r="AK634" t="s">
        <v>497</v>
      </c>
      <c r="AL634" t="b">
        <v>0</v>
      </c>
      <c r="AM634" t="b">
        <v>0</v>
      </c>
    </row>
    <row r="635" spans="1:39">
      <c r="A635" t="s">
        <v>1440</v>
      </c>
      <c r="B635" t="b">
        <v>1</v>
      </c>
      <c r="C635">
        <v>102958</v>
      </c>
      <c r="D635" t="s">
        <v>178</v>
      </c>
      <c r="E635" t="s">
        <v>179</v>
      </c>
      <c r="F635" t="s">
        <v>488</v>
      </c>
      <c r="G635" t="s">
        <v>489</v>
      </c>
      <c r="H635" t="s">
        <v>46</v>
      </c>
      <c r="I635">
        <v>1</v>
      </c>
      <c r="J635" s="4">
        <v>43926</v>
      </c>
      <c r="K635" s="4">
        <v>43926</v>
      </c>
      <c r="L635" s="5">
        <v>0.51041666666666663</v>
      </c>
      <c r="M635" s="5">
        <v>0.58333333333333337</v>
      </c>
      <c r="N635">
        <v>55.515189999999997</v>
      </c>
      <c r="O635">
        <v>13.899330000000001</v>
      </c>
      <c r="P635">
        <v>430498</v>
      </c>
      <c r="Q635">
        <v>6152673</v>
      </c>
      <c r="R635" t="s">
        <v>490</v>
      </c>
      <c r="S635">
        <v>125</v>
      </c>
      <c r="T635" t="s">
        <v>552</v>
      </c>
      <c r="U635" t="s">
        <v>525</v>
      </c>
      <c r="V635" t="s">
        <v>504</v>
      </c>
      <c r="W635" t="s">
        <v>494</v>
      </c>
      <c r="X635" t="s">
        <v>494</v>
      </c>
      <c r="Y635" t="s">
        <v>536</v>
      </c>
      <c r="Z635">
        <v>2</v>
      </c>
      <c r="AA635">
        <v>2</v>
      </c>
      <c r="AE635" t="s">
        <v>51</v>
      </c>
      <c r="AF635" t="s">
        <v>496</v>
      </c>
      <c r="AG635" t="b">
        <v>0</v>
      </c>
      <c r="AH635" t="b">
        <v>0</v>
      </c>
      <c r="AI635" t="b">
        <v>0</v>
      </c>
      <c r="AK635" t="s">
        <v>497</v>
      </c>
      <c r="AL635" t="b">
        <v>0</v>
      </c>
      <c r="AM635" t="b">
        <v>0</v>
      </c>
    </row>
    <row r="636" spans="1:39">
      <c r="A636" t="s">
        <v>1441</v>
      </c>
      <c r="B636" t="b">
        <v>1</v>
      </c>
      <c r="C636">
        <v>100065</v>
      </c>
      <c r="D636" t="s">
        <v>138</v>
      </c>
      <c r="E636" t="s">
        <v>139</v>
      </c>
      <c r="F636" t="s">
        <v>488</v>
      </c>
      <c r="G636" t="s">
        <v>489</v>
      </c>
      <c r="H636" t="s">
        <v>46</v>
      </c>
      <c r="I636">
        <v>1</v>
      </c>
      <c r="J636" s="4">
        <v>43972</v>
      </c>
      <c r="K636" s="4">
        <v>43972</v>
      </c>
      <c r="L636" s="5">
        <v>0.77083333333333337</v>
      </c>
      <c r="M636" s="5">
        <v>0.8125</v>
      </c>
      <c r="N636">
        <v>55.530740000000002</v>
      </c>
      <c r="O636">
        <v>13.879630000000001</v>
      </c>
      <c r="P636">
        <v>429282</v>
      </c>
      <c r="Q636">
        <v>6154424</v>
      </c>
      <c r="R636" t="s">
        <v>490</v>
      </c>
      <c r="S636">
        <v>310</v>
      </c>
      <c r="T636" t="s">
        <v>499</v>
      </c>
      <c r="U636" t="s">
        <v>492</v>
      </c>
      <c r="V636" t="s">
        <v>493</v>
      </c>
      <c r="W636" t="s">
        <v>494</v>
      </c>
      <c r="X636" t="s">
        <v>494</v>
      </c>
      <c r="Y636" t="s">
        <v>565</v>
      </c>
      <c r="Z636">
        <v>5</v>
      </c>
      <c r="AA636">
        <v>5</v>
      </c>
      <c r="AE636" t="s">
        <v>538</v>
      </c>
      <c r="AF636" t="s">
        <v>496</v>
      </c>
      <c r="AG636" t="b">
        <v>0</v>
      </c>
      <c r="AH636" t="b">
        <v>0</v>
      </c>
      <c r="AI636" t="b">
        <v>0</v>
      </c>
      <c r="AK636" t="s">
        <v>497</v>
      </c>
      <c r="AL636" t="b">
        <v>0</v>
      </c>
      <c r="AM636" t="b">
        <v>0</v>
      </c>
    </row>
    <row r="637" spans="1:39">
      <c r="A637" t="s">
        <v>1442</v>
      </c>
      <c r="B637" t="b">
        <v>1</v>
      </c>
      <c r="C637">
        <v>102119</v>
      </c>
      <c r="D637" t="s">
        <v>291</v>
      </c>
      <c r="E637" t="s">
        <v>292</v>
      </c>
      <c r="F637" t="s">
        <v>488</v>
      </c>
      <c r="G637" t="s">
        <v>489</v>
      </c>
      <c r="H637" t="s">
        <v>41</v>
      </c>
      <c r="I637">
        <v>1</v>
      </c>
      <c r="J637" s="4">
        <v>43953</v>
      </c>
      <c r="K637" s="4">
        <v>43953</v>
      </c>
      <c r="L637" s="5">
        <v>0.48958333333333331</v>
      </c>
      <c r="M637" s="5">
        <v>0.5625</v>
      </c>
      <c r="N637">
        <v>55.515189999999997</v>
      </c>
      <c r="O637">
        <v>13.899330000000001</v>
      </c>
      <c r="P637">
        <v>430498</v>
      </c>
      <c r="Q637">
        <v>6152673</v>
      </c>
      <c r="R637" t="s">
        <v>490</v>
      </c>
      <c r="S637">
        <v>125</v>
      </c>
      <c r="T637" t="s">
        <v>552</v>
      </c>
      <c r="U637" t="s">
        <v>525</v>
      </c>
      <c r="V637" t="s">
        <v>504</v>
      </c>
      <c r="W637" t="s">
        <v>494</v>
      </c>
      <c r="X637" t="s">
        <v>494</v>
      </c>
      <c r="Y637" t="s">
        <v>536</v>
      </c>
      <c r="Z637">
        <v>1</v>
      </c>
      <c r="AA637">
        <v>1</v>
      </c>
      <c r="AE637" t="s">
        <v>42</v>
      </c>
      <c r="AF637" t="s">
        <v>496</v>
      </c>
      <c r="AG637" t="b">
        <v>0</v>
      </c>
      <c r="AH637" t="b">
        <v>0</v>
      </c>
      <c r="AI637" t="b">
        <v>0</v>
      </c>
      <c r="AK637" t="s">
        <v>497</v>
      </c>
      <c r="AL637" t="b">
        <v>0</v>
      </c>
      <c r="AM637" t="b">
        <v>0</v>
      </c>
    </row>
    <row r="638" spans="1:39">
      <c r="A638" t="s">
        <v>1443</v>
      </c>
      <c r="B638" t="b">
        <v>1</v>
      </c>
      <c r="C638">
        <v>102972</v>
      </c>
      <c r="D638" t="s">
        <v>55</v>
      </c>
      <c r="E638" t="s">
        <v>56</v>
      </c>
      <c r="F638" t="s">
        <v>488</v>
      </c>
      <c r="G638" t="s">
        <v>489</v>
      </c>
      <c r="H638" t="s">
        <v>41</v>
      </c>
      <c r="I638">
        <v>1</v>
      </c>
      <c r="J638" s="4">
        <v>45812</v>
      </c>
      <c r="K638" s="4">
        <v>45812</v>
      </c>
      <c r="L638" s="5">
        <v>0.41319444444444442</v>
      </c>
      <c r="M638" s="5">
        <v>0.41319444444444442</v>
      </c>
      <c r="N638">
        <v>55.54081</v>
      </c>
      <c r="O638">
        <v>13.95609</v>
      </c>
      <c r="P638">
        <v>434125</v>
      </c>
      <c r="Q638">
        <v>6155470</v>
      </c>
      <c r="R638" t="s">
        <v>490</v>
      </c>
      <c r="S638">
        <v>1500</v>
      </c>
      <c r="T638" t="s">
        <v>507</v>
      </c>
      <c r="U638" t="s">
        <v>508</v>
      </c>
      <c r="V638" t="s">
        <v>504</v>
      </c>
      <c r="W638" t="s">
        <v>494</v>
      </c>
      <c r="X638" t="s">
        <v>494</v>
      </c>
      <c r="Y638" t="s">
        <v>671</v>
      </c>
      <c r="Z638">
        <v>1</v>
      </c>
      <c r="AA638">
        <v>1</v>
      </c>
      <c r="AD638" t="s">
        <v>510</v>
      </c>
      <c r="AE638" t="s">
        <v>42</v>
      </c>
      <c r="AF638" t="s">
        <v>496</v>
      </c>
      <c r="AG638" t="b">
        <v>0</v>
      </c>
      <c r="AH638" t="b">
        <v>0</v>
      </c>
      <c r="AI638" t="b">
        <v>0</v>
      </c>
      <c r="AK638" t="s">
        <v>497</v>
      </c>
      <c r="AL638" t="b">
        <v>0</v>
      </c>
      <c r="AM638" t="b">
        <v>0</v>
      </c>
    </row>
    <row r="639" spans="1:39">
      <c r="A639" t="s">
        <v>1444</v>
      </c>
      <c r="B639" t="b">
        <v>1</v>
      </c>
      <c r="C639">
        <v>103042</v>
      </c>
      <c r="D639" t="s">
        <v>398</v>
      </c>
      <c r="E639" t="s">
        <v>399</v>
      </c>
      <c r="F639" t="s">
        <v>488</v>
      </c>
      <c r="G639" t="s">
        <v>489</v>
      </c>
      <c r="H639" t="s">
        <v>85</v>
      </c>
      <c r="I639">
        <v>1</v>
      </c>
      <c r="J639" s="4">
        <v>45763</v>
      </c>
      <c r="K639" s="4">
        <v>45763</v>
      </c>
      <c r="L639" s="5">
        <v>0.375</v>
      </c>
      <c r="M639" s="5">
        <v>0.54166666666666663</v>
      </c>
      <c r="N639">
        <v>55.54081</v>
      </c>
      <c r="O639">
        <v>13.95609</v>
      </c>
      <c r="P639">
        <v>434125</v>
      </c>
      <c r="Q639">
        <v>6155470</v>
      </c>
      <c r="R639" t="s">
        <v>490</v>
      </c>
      <c r="S639">
        <v>1500</v>
      </c>
      <c r="T639" t="s">
        <v>507</v>
      </c>
      <c r="U639" t="s">
        <v>508</v>
      </c>
      <c r="V639" t="s">
        <v>504</v>
      </c>
      <c r="W639" t="s">
        <v>494</v>
      </c>
      <c r="X639" t="s">
        <v>494</v>
      </c>
      <c r="Y639" t="s">
        <v>526</v>
      </c>
      <c r="Z639">
        <v>1</v>
      </c>
      <c r="AA639">
        <v>1</v>
      </c>
      <c r="AE639" t="s">
        <v>42</v>
      </c>
      <c r="AF639" t="s">
        <v>496</v>
      </c>
      <c r="AG639" t="b">
        <v>0</v>
      </c>
      <c r="AH639" t="b">
        <v>0</v>
      </c>
      <c r="AI639" t="b">
        <v>0</v>
      </c>
      <c r="AK639" t="s">
        <v>497</v>
      </c>
      <c r="AL639" t="b">
        <v>0</v>
      </c>
      <c r="AM639" t="b">
        <v>0</v>
      </c>
    </row>
    <row r="640" spans="1:39">
      <c r="A640" t="s">
        <v>1445</v>
      </c>
      <c r="B640" t="b">
        <v>1</v>
      </c>
      <c r="C640">
        <v>102950</v>
      </c>
      <c r="D640" t="s">
        <v>150</v>
      </c>
      <c r="E640" t="s">
        <v>151</v>
      </c>
      <c r="F640" t="s">
        <v>488</v>
      </c>
      <c r="G640" t="s">
        <v>489</v>
      </c>
      <c r="H640" t="s">
        <v>41</v>
      </c>
      <c r="I640">
        <v>1</v>
      </c>
      <c r="J640" s="4">
        <v>45807</v>
      </c>
      <c r="K640" s="4">
        <v>45807</v>
      </c>
      <c r="L640" s="5">
        <v>0.62083333333333335</v>
      </c>
      <c r="M640" s="5">
        <v>0.625</v>
      </c>
      <c r="N640">
        <v>55.54081</v>
      </c>
      <c r="O640">
        <v>13.95609</v>
      </c>
      <c r="P640">
        <v>434125</v>
      </c>
      <c r="Q640">
        <v>6155470</v>
      </c>
      <c r="R640" t="s">
        <v>490</v>
      </c>
      <c r="S640">
        <v>1500</v>
      </c>
      <c r="T640" t="s">
        <v>507</v>
      </c>
      <c r="U640" t="s">
        <v>508</v>
      </c>
      <c r="V640" t="s">
        <v>504</v>
      </c>
      <c r="W640" t="s">
        <v>494</v>
      </c>
      <c r="X640" t="s">
        <v>494</v>
      </c>
      <c r="Y640" t="s">
        <v>717</v>
      </c>
      <c r="Z640">
        <v>1</v>
      </c>
      <c r="AA640">
        <v>1</v>
      </c>
      <c r="AE640" t="s">
        <v>538</v>
      </c>
      <c r="AF640" t="s">
        <v>496</v>
      </c>
      <c r="AG640" t="b">
        <v>0</v>
      </c>
      <c r="AH640" t="b">
        <v>0</v>
      </c>
      <c r="AI640" t="b">
        <v>0</v>
      </c>
      <c r="AK640" t="s">
        <v>497</v>
      </c>
      <c r="AL640" t="b">
        <v>0</v>
      </c>
      <c r="AM640" t="b">
        <v>0</v>
      </c>
    </row>
    <row r="641" spans="1:39">
      <c r="A641" t="s">
        <v>1446</v>
      </c>
      <c r="B641" t="b">
        <v>1</v>
      </c>
      <c r="C641">
        <v>100043</v>
      </c>
      <c r="D641" t="s">
        <v>124</v>
      </c>
      <c r="E641" t="s">
        <v>125</v>
      </c>
      <c r="F641" t="s">
        <v>488</v>
      </c>
      <c r="G641" t="s">
        <v>489</v>
      </c>
      <c r="H641" t="s">
        <v>46</v>
      </c>
      <c r="I641">
        <v>1</v>
      </c>
      <c r="J641" s="4">
        <v>45829</v>
      </c>
      <c r="K641" s="4">
        <v>45829</v>
      </c>
      <c r="L641" s="5">
        <v>0.54166666666666663</v>
      </c>
      <c r="M641" s="5">
        <v>0.58333333333333337</v>
      </c>
      <c r="N641">
        <v>55.527650000000001</v>
      </c>
      <c r="O641">
        <v>13.900119999999999</v>
      </c>
      <c r="P641">
        <v>430570</v>
      </c>
      <c r="Q641">
        <v>6154060</v>
      </c>
      <c r="R641" t="s">
        <v>490</v>
      </c>
      <c r="S641">
        <v>250</v>
      </c>
      <c r="T641" t="s">
        <v>578</v>
      </c>
      <c r="U641" t="s">
        <v>525</v>
      </c>
      <c r="V641" t="s">
        <v>504</v>
      </c>
      <c r="W641" t="s">
        <v>494</v>
      </c>
      <c r="X641" t="s">
        <v>494</v>
      </c>
      <c r="Y641" t="s">
        <v>1447</v>
      </c>
      <c r="Z641">
        <v>2</v>
      </c>
      <c r="AA641">
        <v>2</v>
      </c>
      <c r="AE641" t="s">
        <v>42</v>
      </c>
      <c r="AF641" t="s">
        <v>496</v>
      </c>
      <c r="AG641" t="b">
        <v>0</v>
      </c>
      <c r="AH641" t="b">
        <v>0</v>
      </c>
      <c r="AI641" t="b">
        <v>0</v>
      </c>
      <c r="AK641" t="s">
        <v>497</v>
      </c>
      <c r="AL641" t="b">
        <v>0</v>
      </c>
      <c r="AM641" t="b">
        <v>0</v>
      </c>
    </row>
    <row r="642" spans="1:39">
      <c r="A642" t="s">
        <v>1448</v>
      </c>
      <c r="B642" t="b">
        <v>1</v>
      </c>
      <c r="C642">
        <v>100124</v>
      </c>
      <c r="D642" t="s">
        <v>352</v>
      </c>
      <c r="E642" t="s">
        <v>353</v>
      </c>
      <c r="F642" t="s">
        <v>488</v>
      </c>
      <c r="G642" t="s">
        <v>489</v>
      </c>
      <c r="H642" t="s">
        <v>81</v>
      </c>
      <c r="I642">
        <v>1</v>
      </c>
      <c r="J642" s="4">
        <v>45069</v>
      </c>
      <c r="K642" s="4">
        <v>45069</v>
      </c>
      <c r="N642">
        <v>55.548569999999998</v>
      </c>
      <c r="O642">
        <v>13.97132</v>
      </c>
      <c r="P642">
        <v>435099</v>
      </c>
      <c r="Q642">
        <v>6156319</v>
      </c>
      <c r="R642" t="s">
        <v>490</v>
      </c>
      <c r="S642">
        <v>200</v>
      </c>
      <c r="T642" t="s">
        <v>658</v>
      </c>
      <c r="U642" t="s">
        <v>508</v>
      </c>
      <c r="V642" t="s">
        <v>504</v>
      </c>
      <c r="W642" t="s">
        <v>494</v>
      </c>
      <c r="X642" t="s">
        <v>494</v>
      </c>
      <c r="Y642" t="s">
        <v>536</v>
      </c>
      <c r="Z642">
        <v>15</v>
      </c>
      <c r="AA642">
        <v>15</v>
      </c>
      <c r="AE642" t="s">
        <v>62</v>
      </c>
      <c r="AF642" t="s">
        <v>496</v>
      </c>
      <c r="AG642" t="b">
        <v>0</v>
      </c>
      <c r="AH642" t="b">
        <v>0</v>
      </c>
      <c r="AI642" t="b">
        <v>0</v>
      </c>
      <c r="AK642" t="s">
        <v>497</v>
      </c>
      <c r="AL642" t="b">
        <v>0</v>
      </c>
      <c r="AM642" t="b">
        <v>0</v>
      </c>
    </row>
    <row r="643" spans="1:39">
      <c r="A643" t="s">
        <v>1449</v>
      </c>
      <c r="B643" t="b">
        <v>1</v>
      </c>
      <c r="C643">
        <v>100049</v>
      </c>
      <c r="D643" t="s">
        <v>295</v>
      </c>
      <c r="E643" t="s">
        <v>296</v>
      </c>
      <c r="F643" t="s">
        <v>488</v>
      </c>
      <c r="G643" t="s">
        <v>489</v>
      </c>
      <c r="H643" t="s">
        <v>46</v>
      </c>
      <c r="I643">
        <v>1</v>
      </c>
      <c r="J643" s="4">
        <v>45349</v>
      </c>
      <c r="K643" s="4">
        <v>45349</v>
      </c>
      <c r="L643" s="5">
        <v>0.32569444444444445</v>
      </c>
      <c r="M643" s="5">
        <v>0.37083333333333335</v>
      </c>
      <c r="N643">
        <v>55.530740000000002</v>
      </c>
      <c r="O643">
        <v>13.879630000000001</v>
      </c>
      <c r="P643">
        <v>429282</v>
      </c>
      <c r="Q643">
        <v>6154424</v>
      </c>
      <c r="R643" t="s">
        <v>490</v>
      </c>
      <c r="S643">
        <v>310</v>
      </c>
      <c r="T643" t="s">
        <v>499</v>
      </c>
      <c r="U643" t="s">
        <v>492</v>
      </c>
      <c r="V643" t="s">
        <v>493</v>
      </c>
      <c r="W643" t="s">
        <v>494</v>
      </c>
      <c r="X643" t="s">
        <v>494</v>
      </c>
      <c r="Y643" t="s">
        <v>661</v>
      </c>
      <c r="Z643">
        <v>2</v>
      </c>
      <c r="AA643">
        <v>2</v>
      </c>
      <c r="AD643" t="s">
        <v>527</v>
      </c>
      <c r="AE643" t="s">
        <v>42</v>
      </c>
      <c r="AF643" t="s">
        <v>496</v>
      </c>
      <c r="AG643" t="b">
        <v>0</v>
      </c>
      <c r="AH643" t="b">
        <v>0</v>
      </c>
      <c r="AI643" t="b">
        <v>0</v>
      </c>
      <c r="AK643" t="s">
        <v>497</v>
      </c>
      <c r="AL643" t="b">
        <v>0</v>
      </c>
      <c r="AM643" t="b">
        <v>0</v>
      </c>
    </row>
    <row r="644" spans="1:39">
      <c r="A644" t="s">
        <v>1450</v>
      </c>
      <c r="B644" t="b">
        <v>1</v>
      </c>
      <c r="C644">
        <v>103055</v>
      </c>
      <c r="D644" t="s">
        <v>413</v>
      </c>
      <c r="E644" t="s">
        <v>414</v>
      </c>
      <c r="F644" t="s">
        <v>488</v>
      </c>
      <c r="G644" t="s">
        <v>489</v>
      </c>
      <c r="H644" t="s">
        <v>41</v>
      </c>
      <c r="I644">
        <v>1</v>
      </c>
      <c r="J644" s="4">
        <v>45087</v>
      </c>
      <c r="K644" s="4">
        <v>45087</v>
      </c>
      <c r="L644" s="5">
        <v>0.66666666666666663</v>
      </c>
      <c r="M644" s="5">
        <v>0.70138888888888884</v>
      </c>
      <c r="N644">
        <v>55.527650000000001</v>
      </c>
      <c r="O644">
        <v>13.900119999999999</v>
      </c>
      <c r="P644">
        <v>430570</v>
      </c>
      <c r="Q644">
        <v>6154060</v>
      </c>
      <c r="R644" t="s">
        <v>490</v>
      </c>
      <c r="S644">
        <v>250</v>
      </c>
      <c r="T644" t="s">
        <v>578</v>
      </c>
      <c r="U644" t="s">
        <v>525</v>
      </c>
      <c r="V644" t="s">
        <v>504</v>
      </c>
      <c r="W644" t="s">
        <v>494</v>
      </c>
      <c r="X644" t="s">
        <v>494</v>
      </c>
      <c r="Y644" t="s">
        <v>828</v>
      </c>
      <c r="Z644">
        <v>1</v>
      </c>
      <c r="AA644">
        <v>1</v>
      </c>
      <c r="AE644" t="s">
        <v>42</v>
      </c>
      <c r="AF644" t="s">
        <v>496</v>
      </c>
      <c r="AG644" t="b">
        <v>0</v>
      </c>
      <c r="AH644" t="b">
        <v>0</v>
      </c>
      <c r="AI644" t="b">
        <v>0</v>
      </c>
      <c r="AK644" t="s">
        <v>497</v>
      </c>
      <c r="AL644" t="b">
        <v>0</v>
      </c>
      <c r="AM644" t="b">
        <v>0</v>
      </c>
    </row>
    <row r="645" spans="1:39">
      <c r="A645" t="s">
        <v>1451</v>
      </c>
      <c r="B645" t="b">
        <v>1</v>
      </c>
      <c r="C645">
        <v>102977</v>
      </c>
      <c r="D645" t="s">
        <v>47</v>
      </c>
      <c r="E645" t="s">
        <v>48</v>
      </c>
      <c r="F645" t="s">
        <v>488</v>
      </c>
      <c r="G645" t="s">
        <v>489</v>
      </c>
      <c r="H645" t="s">
        <v>46</v>
      </c>
      <c r="I645">
        <v>1</v>
      </c>
      <c r="J645" s="4">
        <v>45010</v>
      </c>
      <c r="K645" s="4">
        <v>45010</v>
      </c>
      <c r="N645">
        <v>55.556199999999997</v>
      </c>
      <c r="O645">
        <v>13.93919</v>
      </c>
      <c r="P645">
        <v>433085</v>
      </c>
      <c r="Q645">
        <v>6157198</v>
      </c>
      <c r="R645" t="s">
        <v>490</v>
      </c>
      <c r="S645">
        <v>25</v>
      </c>
      <c r="T645" t="s">
        <v>554</v>
      </c>
      <c r="U645" t="s">
        <v>508</v>
      </c>
      <c r="V645" t="s">
        <v>504</v>
      </c>
      <c r="W645" t="s">
        <v>494</v>
      </c>
      <c r="X645" t="s">
        <v>494</v>
      </c>
      <c r="Y645" t="s">
        <v>555</v>
      </c>
      <c r="Z645">
        <v>1</v>
      </c>
      <c r="AA645">
        <v>1</v>
      </c>
      <c r="AE645" t="s">
        <v>42</v>
      </c>
      <c r="AF645" t="s">
        <v>496</v>
      </c>
      <c r="AG645" t="b">
        <v>0</v>
      </c>
      <c r="AH645" t="b">
        <v>0</v>
      </c>
      <c r="AI645" t="b">
        <v>0</v>
      </c>
      <c r="AK645" t="s">
        <v>497</v>
      </c>
      <c r="AL645" t="b">
        <v>0</v>
      </c>
      <c r="AM645" t="b">
        <v>0</v>
      </c>
    </row>
    <row r="646" spans="1:39">
      <c r="A646" t="s">
        <v>1452</v>
      </c>
      <c r="B646" t="b">
        <v>1</v>
      </c>
      <c r="C646">
        <v>102977</v>
      </c>
      <c r="D646" t="s">
        <v>47</v>
      </c>
      <c r="E646" t="s">
        <v>48</v>
      </c>
      <c r="F646" t="s">
        <v>488</v>
      </c>
      <c r="G646" t="s">
        <v>489</v>
      </c>
      <c r="H646" t="s">
        <v>46</v>
      </c>
      <c r="I646">
        <v>1</v>
      </c>
      <c r="J646" s="4">
        <v>45380</v>
      </c>
      <c r="K646" s="4">
        <v>45380</v>
      </c>
      <c r="N646">
        <v>55.530740000000002</v>
      </c>
      <c r="O646">
        <v>13.879630000000001</v>
      </c>
      <c r="P646">
        <v>429282</v>
      </c>
      <c r="Q646">
        <v>6154424</v>
      </c>
      <c r="R646" t="s">
        <v>490</v>
      </c>
      <c r="S646">
        <v>310</v>
      </c>
      <c r="T646" t="s">
        <v>499</v>
      </c>
      <c r="U646" t="s">
        <v>492</v>
      </c>
      <c r="V646" t="s">
        <v>493</v>
      </c>
      <c r="W646" t="s">
        <v>494</v>
      </c>
      <c r="X646" t="s">
        <v>494</v>
      </c>
      <c r="Y646" t="s">
        <v>1409</v>
      </c>
      <c r="Z646">
        <v>1</v>
      </c>
      <c r="AA646">
        <v>1</v>
      </c>
      <c r="AE646" t="s">
        <v>42</v>
      </c>
      <c r="AF646" t="s">
        <v>496</v>
      </c>
      <c r="AG646" t="b">
        <v>0</v>
      </c>
      <c r="AH646" t="b">
        <v>0</v>
      </c>
      <c r="AI646" t="b">
        <v>0</v>
      </c>
      <c r="AK646" t="s">
        <v>497</v>
      </c>
      <c r="AL646" t="b">
        <v>0</v>
      </c>
      <c r="AM646" t="b">
        <v>0</v>
      </c>
    </row>
    <row r="647" spans="1:39">
      <c r="A647" t="s">
        <v>1453</v>
      </c>
      <c r="B647" t="b">
        <v>1</v>
      </c>
      <c r="C647">
        <v>100091</v>
      </c>
      <c r="D647" t="s">
        <v>162</v>
      </c>
      <c r="E647" t="s">
        <v>163</v>
      </c>
      <c r="F647" t="s">
        <v>488</v>
      </c>
      <c r="G647" t="s">
        <v>489</v>
      </c>
      <c r="H647" t="s">
        <v>81</v>
      </c>
      <c r="I647">
        <v>1</v>
      </c>
      <c r="J647" s="4">
        <v>45415</v>
      </c>
      <c r="K647" s="4">
        <v>45415</v>
      </c>
      <c r="L647" s="5">
        <v>0.52083333333333337</v>
      </c>
      <c r="M647" s="5">
        <v>0.52777777777777779</v>
      </c>
      <c r="N647">
        <v>55.565519999999999</v>
      </c>
      <c r="O647">
        <v>13.919700000000001</v>
      </c>
      <c r="P647">
        <v>431872</v>
      </c>
      <c r="Q647">
        <v>6158255</v>
      </c>
      <c r="R647" t="s">
        <v>490</v>
      </c>
      <c r="S647">
        <v>250</v>
      </c>
      <c r="T647" t="s">
        <v>1454</v>
      </c>
      <c r="U647" t="s">
        <v>508</v>
      </c>
      <c r="V647" t="s">
        <v>504</v>
      </c>
      <c r="W647" t="s">
        <v>494</v>
      </c>
      <c r="X647" t="s">
        <v>494</v>
      </c>
      <c r="Y647" t="s">
        <v>536</v>
      </c>
      <c r="Z647">
        <v>1</v>
      </c>
      <c r="AA647">
        <v>1</v>
      </c>
      <c r="AE647" t="s">
        <v>538</v>
      </c>
      <c r="AF647" t="s">
        <v>496</v>
      </c>
      <c r="AG647" t="b">
        <v>0</v>
      </c>
      <c r="AH647" t="b">
        <v>0</v>
      </c>
      <c r="AI647" t="b">
        <v>0</v>
      </c>
      <c r="AK647" t="s">
        <v>497</v>
      </c>
      <c r="AL647" t="b">
        <v>0</v>
      </c>
      <c r="AM647" t="b">
        <v>0</v>
      </c>
    </row>
    <row r="648" spans="1:39">
      <c r="A648" t="s">
        <v>1455</v>
      </c>
      <c r="B648" t="b">
        <v>1</v>
      </c>
      <c r="C648">
        <v>102987</v>
      </c>
      <c r="D648" t="s">
        <v>388</v>
      </c>
      <c r="E648" t="s">
        <v>389</v>
      </c>
      <c r="F648" t="s">
        <v>488</v>
      </c>
      <c r="G648" t="s">
        <v>489</v>
      </c>
      <c r="H648" t="s">
        <v>41</v>
      </c>
      <c r="I648">
        <v>1</v>
      </c>
      <c r="J648" s="4">
        <v>45087</v>
      </c>
      <c r="K648" s="4">
        <v>45087</v>
      </c>
      <c r="L648" s="5">
        <v>0.51388888888888884</v>
      </c>
      <c r="M648" s="5">
        <v>0.56597222222222221</v>
      </c>
      <c r="N648">
        <v>55.530740000000002</v>
      </c>
      <c r="O648">
        <v>13.879630000000001</v>
      </c>
      <c r="P648">
        <v>429282</v>
      </c>
      <c r="Q648">
        <v>6154424</v>
      </c>
      <c r="R648" t="s">
        <v>490</v>
      </c>
      <c r="S648">
        <v>310</v>
      </c>
      <c r="T648" t="s">
        <v>499</v>
      </c>
      <c r="U648" t="s">
        <v>492</v>
      </c>
      <c r="V648" t="s">
        <v>493</v>
      </c>
      <c r="W648" t="s">
        <v>494</v>
      </c>
      <c r="X648" t="s">
        <v>494</v>
      </c>
      <c r="Y648" t="s">
        <v>1456</v>
      </c>
      <c r="Z648">
        <v>1</v>
      </c>
      <c r="AA648">
        <v>1</v>
      </c>
      <c r="AE648" t="s">
        <v>538</v>
      </c>
      <c r="AF648" t="s">
        <v>496</v>
      </c>
      <c r="AG648" t="b">
        <v>0</v>
      </c>
      <c r="AH648" t="b">
        <v>0</v>
      </c>
      <c r="AI648" t="b">
        <v>0</v>
      </c>
      <c r="AK648" t="s">
        <v>497</v>
      </c>
      <c r="AL648" t="b">
        <v>0</v>
      </c>
      <c r="AM648" t="b">
        <v>0</v>
      </c>
    </row>
    <row r="649" spans="1:39">
      <c r="A649" t="s">
        <v>1457</v>
      </c>
      <c r="B649" t="b">
        <v>1</v>
      </c>
      <c r="C649">
        <v>102977</v>
      </c>
      <c r="D649" t="s">
        <v>47</v>
      </c>
      <c r="E649" t="s">
        <v>48</v>
      </c>
      <c r="F649" t="s">
        <v>488</v>
      </c>
      <c r="G649" t="s">
        <v>489</v>
      </c>
      <c r="H649" t="s">
        <v>46</v>
      </c>
      <c r="I649">
        <v>1</v>
      </c>
      <c r="J649" s="4">
        <v>44641</v>
      </c>
      <c r="K649" s="4">
        <v>44641</v>
      </c>
      <c r="L649" s="5">
        <v>0.45833333333333331</v>
      </c>
      <c r="M649" s="5">
        <v>0.5</v>
      </c>
      <c r="N649">
        <v>55.555169999999997</v>
      </c>
      <c r="O649">
        <v>13.94431</v>
      </c>
      <c r="P649">
        <v>433406</v>
      </c>
      <c r="Q649">
        <v>6157079</v>
      </c>
      <c r="R649" t="s">
        <v>490</v>
      </c>
      <c r="S649">
        <v>200</v>
      </c>
      <c r="T649" t="s">
        <v>1113</v>
      </c>
      <c r="U649" t="s">
        <v>508</v>
      </c>
      <c r="V649" t="s">
        <v>504</v>
      </c>
      <c r="W649" t="s">
        <v>494</v>
      </c>
      <c r="X649" t="s">
        <v>494</v>
      </c>
      <c r="Y649" t="s">
        <v>536</v>
      </c>
      <c r="Z649">
        <v>1</v>
      </c>
      <c r="AA649">
        <v>1</v>
      </c>
      <c r="AE649" t="s">
        <v>42</v>
      </c>
      <c r="AF649" t="s">
        <v>496</v>
      </c>
      <c r="AG649" t="b">
        <v>0</v>
      </c>
      <c r="AH649" t="b">
        <v>0</v>
      </c>
      <c r="AI649" t="b">
        <v>0</v>
      </c>
      <c r="AK649" t="s">
        <v>497</v>
      </c>
      <c r="AL649" t="b">
        <v>0</v>
      </c>
      <c r="AM649" t="b">
        <v>0</v>
      </c>
    </row>
    <row r="650" spans="1:39">
      <c r="A650" t="s">
        <v>1458</v>
      </c>
      <c r="B650" t="b">
        <v>1</v>
      </c>
      <c r="C650">
        <v>102958</v>
      </c>
      <c r="D650" t="s">
        <v>178</v>
      </c>
      <c r="E650" t="s">
        <v>179</v>
      </c>
      <c r="F650" t="s">
        <v>488</v>
      </c>
      <c r="G650" t="s">
        <v>489</v>
      </c>
      <c r="H650" t="s">
        <v>46</v>
      </c>
      <c r="I650">
        <v>1</v>
      </c>
      <c r="J650" s="4">
        <v>44668</v>
      </c>
      <c r="K650" s="4">
        <v>44668</v>
      </c>
      <c r="L650" s="5">
        <v>0.5625</v>
      </c>
      <c r="M650" s="5">
        <v>0.59375</v>
      </c>
      <c r="N650">
        <v>55.515189999999997</v>
      </c>
      <c r="O650">
        <v>13.899330000000001</v>
      </c>
      <c r="P650">
        <v>430498</v>
      </c>
      <c r="Q650">
        <v>6152673</v>
      </c>
      <c r="R650" t="s">
        <v>490</v>
      </c>
      <c r="S650">
        <v>125</v>
      </c>
      <c r="T650" t="s">
        <v>552</v>
      </c>
      <c r="U650" t="s">
        <v>525</v>
      </c>
      <c r="V650" t="s">
        <v>504</v>
      </c>
      <c r="W650" t="s">
        <v>494</v>
      </c>
      <c r="X650" t="s">
        <v>494</v>
      </c>
      <c r="Y650" t="s">
        <v>536</v>
      </c>
      <c r="Z650">
        <v>1</v>
      </c>
      <c r="AA650">
        <v>1</v>
      </c>
      <c r="AE650" t="s">
        <v>538</v>
      </c>
      <c r="AF650" t="s">
        <v>496</v>
      </c>
      <c r="AG650" t="b">
        <v>0</v>
      </c>
      <c r="AH650" t="b">
        <v>0</v>
      </c>
      <c r="AI650" t="b">
        <v>0</v>
      </c>
      <c r="AK650" t="s">
        <v>497</v>
      </c>
      <c r="AL650" t="b">
        <v>0</v>
      </c>
      <c r="AM650" t="b">
        <v>0</v>
      </c>
    </row>
    <row r="651" spans="1:39">
      <c r="A651" t="s">
        <v>1459</v>
      </c>
      <c r="B651" t="b">
        <v>1</v>
      </c>
      <c r="C651">
        <v>102972</v>
      </c>
      <c r="D651" t="s">
        <v>55</v>
      </c>
      <c r="E651" t="s">
        <v>56</v>
      </c>
      <c r="F651" t="s">
        <v>488</v>
      </c>
      <c r="G651" t="s">
        <v>489</v>
      </c>
      <c r="H651" t="s">
        <v>41</v>
      </c>
      <c r="I651">
        <v>1</v>
      </c>
      <c r="J651" s="4">
        <v>45724</v>
      </c>
      <c r="K651" s="4">
        <v>45724</v>
      </c>
      <c r="N651">
        <v>55.556199999999997</v>
      </c>
      <c r="O651">
        <v>13.93919</v>
      </c>
      <c r="P651">
        <v>433085</v>
      </c>
      <c r="Q651">
        <v>6157198</v>
      </c>
      <c r="R651" t="s">
        <v>490</v>
      </c>
      <c r="S651">
        <v>25</v>
      </c>
      <c r="T651" t="s">
        <v>554</v>
      </c>
      <c r="U651" t="s">
        <v>508</v>
      </c>
      <c r="V651" t="s">
        <v>504</v>
      </c>
      <c r="W651" t="s">
        <v>494</v>
      </c>
      <c r="X651" t="s">
        <v>494</v>
      </c>
      <c r="Y651" t="s">
        <v>555</v>
      </c>
      <c r="Z651">
        <v>1</v>
      </c>
      <c r="AA651">
        <v>1</v>
      </c>
      <c r="AE651" t="s">
        <v>42</v>
      </c>
      <c r="AF651" t="s">
        <v>496</v>
      </c>
      <c r="AG651" t="b">
        <v>0</v>
      </c>
      <c r="AH651" t="b">
        <v>0</v>
      </c>
      <c r="AI651" t="b">
        <v>0</v>
      </c>
      <c r="AK651" t="s">
        <v>497</v>
      </c>
      <c r="AL651" t="b">
        <v>0</v>
      </c>
      <c r="AM651" t="b">
        <v>0</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B3C5C-6E36-4606-ABB5-FB2E64D1B5D1}">
  <sheetPr codeName="Blad4"/>
  <dimension ref="A1:I175"/>
  <sheetViews>
    <sheetView topLeftCell="A161" workbookViewId="0">
      <selection activeCell="E179" sqref="E179"/>
    </sheetView>
  </sheetViews>
  <sheetFormatPr defaultRowHeight="14.4"/>
  <cols>
    <col min="1" max="1" width="9.77734375" customWidth="1"/>
    <col min="2" max="2" width="23.21875" customWidth="1"/>
    <col min="3" max="3" width="19.44140625" customWidth="1"/>
    <col min="4" max="4" width="14.6640625" customWidth="1"/>
    <col min="5" max="5" width="14.5546875" customWidth="1"/>
    <col min="6" max="6" width="16.44140625" customWidth="1"/>
    <col min="7" max="7" width="12.6640625" customWidth="1"/>
    <col min="8" max="8" width="8.77734375" customWidth="1"/>
    <col min="9" max="9" width="20.6640625" customWidth="1"/>
  </cols>
  <sheetData>
    <row r="1" spans="1:9">
      <c r="A1" t="s">
        <v>64</v>
      </c>
      <c r="B1" t="s">
        <v>65</v>
      </c>
      <c r="C1" t="s">
        <v>3</v>
      </c>
      <c r="D1" t="s">
        <v>4</v>
      </c>
      <c r="E1" t="s">
        <v>66</v>
      </c>
      <c r="F1" t="s">
        <v>67</v>
      </c>
      <c r="G1" t="s">
        <v>68</v>
      </c>
      <c r="H1" t="s">
        <v>69</v>
      </c>
      <c r="I1" s="2" t="s">
        <v>486</v>
      </c>
    </row>
    <row r="2" spans="1:9">
      <c r="A2">
        <v>102927</v>
      </c>
      <c r="B2">
        <v>56870</v>
      </c>
      <c r="C2" t="s">
        <v>58</v>
      </c>
      <c r="D2" t="s">
        <v>59</v>
      </c>
      <c r="E2">
        <v>838529</v>
      </c>
      <c r="F2" t="s">
        <v>46</v>
      </c>
      <c r="G2" t="s">
        <v>415</v>
      </c>
      <c r="H2">
        <v>0</v>
      </c>
      <c r="I2" t="s">
        <v>70</v>
      </c>
    </row>
    <row r="3" spans="1:9">
      <c r="A3">
        <v>102610</v>
      </c>
      <c r="B3">
        <v>56873</v>
      </c>
      <c r="C3" t="s">
        <v>71</v>
      </c>
      <c r="D3" t="s">
        <v>72</v>
      </c>
      <c r="E3">
        <v>53250</v>
      </c>
      <c r="F3" t="s">
        <v>73</v>
      </c>
      <c r="G3" t="s">
        <v>416</v>
      </c>
      <c r="H3">
        <v>0</v>
      </c>
      <c r="I3" t="s">
        <v>70</v>
      </c>
    </row>
    <row r="4" spans="1:9">
      <c r="A4">
        <v>100045</v>
      </c>
      <c r="B4">
        <v>56878</v>
      </c>
      <c r="C4" t="s">
        <v>74</v>
      </c>
      <c r="D4" t="s">
        <v>75</v>
      </c>
      <c r="E4">
        <v>1073476</v>
      </c>
      <c r="F4" t="s">
        <v>46</v>
      </c>
      <c r="G4" t="s">
        <v>416</v>
      </c>
      <c r="H4">
        <v>1</v>
      </c>
      <c r="I4" t="s">
        <v>76</v>
      </c>
    </row>
    <row r="5" spans="1:9">
      <c r="A5">
        <v>100019</v>
      </c>
      <c r="B5">
        <v>56890</v>
      </c>
      <c r="C5" t="s">
        <v>77</v>
      </c>
      <c r="D5" t="s">
        <v>78</v>
      </c>
      <c r="E5">
        <v>480648</v>
      </c>
      <c r="F5" t="s">
        <v>46</v>
      </c>
      <c r="G5" t="s">
        <v>416</v>
      </c>
      <c r="H5">
        <v>1</v>
      </c>
      <c r="I5" t="s">
        <v>76</v>
      </c>
    </row>
    <row r="6" spans="1:9">
      <c r="A6">
        <v>100008</v>
      </c>
      <c r="B6">
        <v>56911</v>
      </c>
      <c r="C6" t="s">
        <v>79</v>
      </c>
      <c r="D6" t="s">
        <v>80</v>
      </c>
      <c r="E6">
        <v>20819</v>
      </c>
      <c r="F6" t="s">
        <v>81</v>
      </c>
      <c r="G6" t="s">
        <v>417</v>
      </c>
      <c r="H6">
        <v>4</v>
      </c>
      <c r="I6" t="s">
        <v>82</v>
      </c>
    </row>
    <row r="7" spans="1:9">
      <c r="A7">
        <v>232125</v>
      </c>
      <c r="B7">
        <v>56918</v>
      </c>
      <c r="C7" t="s">
        <v>83</v>
      </c>
      <c r="D7" t="s">
        <v>84</v>
      </c>
      <c r="E7">
        <v>32661</v>
      </c>
      <c r="F7" t="s">
        <v>85</v>
      </c>
      <c r="G7" t="s">
        <v>85</v>
      </c>
      <c r="H7">
        <v>4</v>
      </c>
      <c r="I7" t="s">
        <v>82</v>
      </c>
    </row>
    <row r="8" spans="1:9">
      <c r="A8">
        <v>102930</v>
      </c>
      <c r="B8">
        <v>56965</v>
      </c>
      <c r="C8" t="s">
        <v>86</v>
      </c>
      <c r="D8" t="s">
        <v>87</v>
      </c>
      <c r="E8">
        <v>307083</v>
      </c>
      <c r="F8" t="s">
        <v>41</v>
      </c>
      <c r="G8" t="s">
        <v>41</v>
      </c>
      <c r="H8">
        <v>2</v>
      </c>
      <c r="I8" t="s">
        <v>88</v>
      </c>
    </row>
    <row r="9" spans="1:9">
      <c r="A9">
        <v>102108</v>
      </c>
      <c r="B9">
        <v>56973</v>
      </c>
      <c r="C9" t="s">
        <v>89</v>
      </c>
      <c r="D9" t="s">
        <v>90</v>
      </c>
      <c r="E9">
        <v>163959</v>
      </c>
      <c r="F9" t="s">
        <v>41</v>
      </c>
      <c r="G9" t="s">
        <v>41</v>
      </c>
      <c r="H9">
        <v>3</v>
      </c>
      <c r="I9" t="s">
        <v>91</v>
      </c>
    </row>
    <row r="10" spans="1:9">
      <c r="A10">
        <v>102935</v>
      </c>
      <c r="B10">
        <v>56980</v>
      </c>
      <c r="C10" t="s">
        <v>92</v>
      </c>
      <c r="D10" t="s">
        <v>93</v>
      </c>
      <c r="E10">
        <v>412318</v>
      </c>
      <c r="F10" t="s">
        <v>81</v>
      </c>
      <c r="G10" t="s">
        <v>81</v>
      </c>
      <c r="H10">
        <v>1</v>
      </c>
      <c r="I10" t="s">
        <v>76</v>
      </c>
    </row>
    <row r="11" spans="1:9">
      <c r="A11">
        <v>100079</v>
      </c>
      <c r="B11">
        <v>57002</v>
      </c>
      <c r="C11" t="s">
        <v>94</v>
      </c>
      <c r="D11" t="s">
        <v>95</v>
      </c>
      <c r="E11">
        <v>268598</v>
      </c>
      <c r="F11" t="s">
        <v>46</v>
      </c>
      <c r="G11" t="s">
        <v>416</v>
      </c>
      <c r="H11">
        <v>3</v>
      </c>
      <c r="I11" t="s">
        <v>91</v>
      </c>
    </row>
    <row r="12" spans="1:9">
      <c r="A12">
        <v>102939</v>
      </c>
      <c r="B12">
        <v>57006</v>
      </c>
      <c r="C12" t="s">
        <v>96</v>
      </c>
      <c r="D12" t="s">
        <v>97</v>
      </c>
      <c r="E12">
        <v>375262</v>
      </c>
      <c r="F12" t="s">
        <v>46</v>
      </c>
      <c r="G12" t="s">
        <v>415</v>
      </c>
      <c r="H12">
        <v>2</v>
      </c>
      <c r="I12" t="s">
        <v>88</v>
      </c>
    </row>
    <row r="13" spans="1:9">
      <c r="A13">
        <v>102940</v>
      </c>
      <c r="B13">
        <v>57007</v>
      </c>
      <c r="C13" t="s">
        <v>98</v>
      </c>
      <c r="D13" t="s">
        <v>99</v>
      </c>
      <c r="E13">
        <v>764704</v>
      </c>
      <c r="F13" t="s">
        <v>46</v>
      </c>
      <c r="G13" t="s">
        <v>415</v>
      </c>
      <c r="H13">
        <v>0</v>
      </c>
      <c r="I13" t="s">
        <v>70</v>
      </c>
    </row>
    <row r="14" spans="1:9">
      <c r="A14">
        <v>102107</v>
      </c>
      <c r="B14">
        <v>57017</v>
      </c>
      <c r="C14" t="s">
        <v>100</v>
      </c>
      <c r="D14" t="s">
        <v>101</v>
      </c>
      <c r="E14">
        <v>225483</v>
      </c>
      <c r="F14" t="s">
        <v>81</v>
      </c>
      <c r="G14" t="s">
        <v>81</v>
      </c>
      <c r="H14">
        <v>3</v>
      </c>
      <c r="I14" t="s">
        <v>91</v>
      </c>
    </row>
    <row r="15" spans="1:9">
      <c r="A15">
        <v>102934</v>
      </c>
      <c r="B15">
        <v>57020</v>
      </c>
      <c r="C15" t="s">
        <v>102</v>
      </c>
      <c r="D15" t="s">
        <v>103</v>
      </c>
      <c r="E15">
        <v>704149</v>
      </c>
      <c r="F15" t="s">
        <v>46</v>
      </c>
      <c r="G15" t="s">
        <v>415</v>
      </c>
      <c r="H15">
        <v>0</v>
      </c>
      <c r="I15" t="s">
        <v>70</v>
      </c>
    </row>
    <row r="16" spans="1:9">
      <c r="A16">
        <v>100014</v>
      </c>
      <c r="B16">
        <v>57023</v>
      </c>
      <c r="C16" t="s">
        <v>104</v>
      </c>
      <c r="D16" t="s">
        <v>105</v>
      </c>
      <c r="E16">
        <v>121241</v>
      </c>
      <c r="F16" t="s">
        <v>85</v>
      </c>
      <c r="G16" t="s">
        <v>85</v>
      </c>
      <c r="H16">
        <v>4</v>
      </c>
      <c r="I16" t="s">
        <v>82</v>
      </c>
    </row>
    <row r="17" spans="1:9">
      <c r="A17">
        <v>100007</v>
      </c>
      <c r="B17">
        <v>57037</v>
      </c>
      <c r="C17" t="s">
        <v>106</v>
      </c>
      <c r="D17" t="s">
        <v>107</v>
      </c>
      <c r="E17">
        <v>117244</v>
      </c>
      <c r="F17" t="s">
        <v>81</v>
      </c>
      <c r="G17" t="s">
        <v>81</v>
      </c>
      <c r="H17">
        <v>4</v>
      </c>
      <c r="I17" t="s">
        <v>82</v>
      </c>
    </row>
    <row r="18" spans="1:9">
      <c r="A18">
        <v>102106</v>
      </c>
      <c r="B18">
        <v>57039</v>
      </c>
      <c r="C18" t="s">
        <v>108</v>
      </c>
      <c r="D18" t="s">
        <v>109</v>
      </c>
      <c r="E18">
        <v>375247</v>
      </c>
      <c r="F18" t="s">
        <v>46</v>
      </c>
      <c r="G18" t="s">
        <v>415</v>
      </c>
      <c r="H18">
        <v>3</v>
      </c>
      <c r="I18" t="s">
        <v>91</v>
      </c>
    </row>
    <row r="19" spans="1:9">
      <c r="A19">
        <v>102105</v>
      </c>
      <c r="B19">
        <v>57044</v>
      </c>
      <c r="C19" t="s">
        <v>110</v>
      </c>
      <c r="D19" t="s">
        <v>111</v>
      </c>
      <c r="E19">
        <v>408930</v>
      </c>
      <c r="F19" t="s">
        <v>46</v>
      </c>
      <c r="G19" t="s">
        <v>415</v>
      </c>
      <c r="H19">
        <v>2</v>
      </c>
      <c r="I19" t="s">
        <v>88</v>
      </c>
    </row>
    <row r="20" spans="1:9">
      <c r="A20">
        <v>102931</v>
      </c>
      <c r="B20">
        <v>57047</v>
      </c>
      <c r="C20" t="s">
        <v>112</v>
      </c>
      <c r="D20" t="s">
        <v>113</v>
      </c>
      <c r="E20">
        <v>592348</v>
      </c>
      <c r="F20" t="s">
        <v>41</v>
      </c>
      <c r="G20" t="s">
        <v>41</v>
      </c>
      <c r="H20">
        <v>3</v>
      </c>
      <c r="I20" t="s">
        <v>91</v>
      </c>
    </row>
    <row r="21" spans="1:9">
      <c r="A21">
        <v>100006</v>
      </c>
      <c r="B21">
        <v>57057</v>
      </c>
      <c r="C21" t="s">
        <v>114</v>
      </c>
      <c r="D21" t="s">
        <v>115</v>
      </c>
      <c r="E21">
        <v>246502</v>
      </c>
      <c r="F21" t="s">
        <v>81</v>
      </c>
      <c r="G21" t="s">
        <v>81</v>
      </c>
      <c r="H21">
        <v>4</v>
      </c>
      <c r="I21" t="s">
        <v>82</v>
      </c>
    </row>
    <row r="22" spans="1:9">
      <c r="A22">
        <v>102932</v>
      </c>
      <c r="B22">
        <v>57058</v>
      </c>
      <c r="C22" t="s">
        <v>116</v>
      </c>
      <c r="D22" t="s">
        <v>117</v>
      </c>
      <c r="E22">
        <v>791108</v>
      </c>
      <c r="F22" t="s">
        <v>41</v>
      </c>
      <c r="G22" t="s">
        <v>41</v>
      </c>
      <c r="H22">
        <v>2</v>
      </c>
      <c r="I22" t="s">
        <v>88</v>
      </c>
    </row>
    <row r="23" spans="1:9">
      <c r="A23">
        <v>102612</v>
      </c>
      <c r="B23">
        <v>57085</v>
      </c>
      <c r="C23" t="s">
        <v>118</v>
      </c>
      <c r="D23" t="s">
        <v>119</v>
      </c>
      <c r="E23">
        <v>60423</v>
      </c>
      <c r="F23" t="s">
        <v>46</v>
      </c>
      <c r="G23" t="s">
        <v>416</v>
      </c>
      <c r="H23">
        <v>3</v>
      </c>
      <c r="I23" t="s">
        <v>91</v>
      </c>
    </row>
    <row r="24" spans="1:9">
      <c r="A24">
        <v>100138</v>
      </c>
      <c r="B24">
        <v>57094</v>
      </c>
      <c r="C24" t="s">
        <v>120</v>
      </c>
      <c r="D24" t="s">
        <v>121</v>
      </c>
      <c r="E24">
        <v>104976</v>
      </c>
      <c r="F24" t="s">
        <v>46</v>
      </c>
      <c r="G24" t="s">
        <v>416</v>
      </c>
      <c r="H24">
        <v>3</v>
      </c>
      <c r="I24" t="s">
        <v>91</v>
      </c>
    </row>
    <row r="25" spans="1:9">
      <c r="A25">
        <v>102613</v>
      </c>
      <c r="B25">
        <v>57097</v>
      </c>
      <c r="C25" t="s">
        <v>122</v>
      </c>
      <c r="D25" t="s">
        <v>123</v>
      </c>
      <c r="E25">
        <v>148232</v>
      </c>
      <c r="F25" t="s">
        <v>46</v>
      </c>
      <c r="G25" t="s">
        <v>416</v>
      </c>
      <c r="H25">
        <v>3</v>
      </c>
      <c r="I25" t="s">
        <v>91</v>
      </c>
    </row>
    <row r="26" spans="1:9">
      <c r="A26">
        <v>100043</v>
      </c>
      <c r="B26">
        <v>57119</v>
      </c>
      <c r="C26" t="s">
        <v>124</v>
      </c>
      <c r="D26" t="s">
        <v>125</v>
      </c>
      <c r="E26">
        <v>42339</v>
      </c>
      <c r="F26" t="s">
        <v>46</v>
      </c>
      <c r="G26" t="s">
        <v>415</v>
      </c>
      <c r="H26">
        <v>1</v>
      </c>
      <c r="I26" t="s">
        <v>76</v>
      </c>
    </row>
    <row r="27" spans="1:9">
      <c r="A27">
        <v>102104</v>
      </c>
      <c r="B27">
        <v>57139</v>
      </c>
      <c r="C27" t="s">
        <v>126</v>
      </c>
      <c r="D27" t="s">
        <v>127</v>
      </c>
      <c r="E27">
        <v>200699</v>
      </c>
      <c r="F27" t="s">
        <v>128</v>
      </c>
      <c r="G27" t="s">
        <v>415</v>
      </c>
      <c r="H27">
        <v>3</v>
      </c>
      <c r="I27" t="s">
        <v>91</v>
      </c>
    </row>
    <row r="28" spans="1:9">
      <c r="A28">
        <v>100113</v>
      </c>
      <c r="B28">
        <v>57145</v>
      </c>
      <c r="C28" t="s">
        <v>129</v>
      </c>
      <c r="D28" t="s">
        <v>130</v>
      </c>
      <c r="E28">
        <v>202620</v>
      </c>
      <c r="F28" t="s">
        <v>46</v>
      </c>
      <c r="G28" t="s">
        <v>416</v>
      </c>
      <c r="H28">
        <v>3</v>
      </c>
      <c r="I28" t="s">
        <v>91</v>
      </c>
    </row>
    <row r="29" spans="1:9">
      <c r="A29">
        <v>100114</v>
      </c>
      <c r="B29">
        <v>57147</v>
      </c>
      <c r="C29" t="s">
        <v>49</v>
      </c>
      <c r="D29" t="s">
        <v>50</v>
      </c>
      <c r="E29">
        <v>176577</v>
      </c>
      <c r="F29" t="s">
        <v>41</v>
      </c>
      <c r="G29" t="s">
        <v>41</v>
      </c>
      <c r="H29">
        <v>3</v>
      </c>
      <c r="I29" t="s">
        <v>91</v>
      </c>
    </row>
    <row r="30" spans="1:9">
      <c r="A30">
        <v>102925</v>
      </c>
      <c r="B30">
        <v>57149</v>
      </c>
      <c r="C30" t="s">
        <v>131</v>
      </c>
      <c r="D30" t="s">
        <v>132</v>
      </c>
      <c r="E30">
        <v>540004</v>
      </c>
      <c r="F30" t="s">
        <v>46</v>
      </c>
      <c r="G30" t="s">
        <v>415</v>
      </c>
      <c r="H30">
        <v>1</v>
      </c>
      <c r="I30" t="s">
        <v>76</v>
      </c>
    </row>
    <row r="31" spans="1:9">
      <c r="A31">
        <v>100115</v>
      </c>
      <c r="B31">
        <v>57152</v>
      </c>
      <c r="C31" t="s">
        <v>133</v>
      </c>
      <c r="D31" t="s">
        <v>134</v>
      </c>
      <c r="E31">
        <v>12596</v>
      </c>
      <c r="F31" t="s">
        <v>81</v>
      </c>
      <c r="G31" t="s">
        <v>81</v>
      </c>
      <c r="H31">
        <v>4</v>
      </c>
      <c r="I31" t="s">
        <v>82</v>
      </c>
    </row>
    <row r="32" spans="1:9">
      <c r="A32">
        <v>100095</v>
      </c>
      <c r="B32">
        <v>57157</v>
      </c>
      <c r="C32" t="s">
        <v>135</v>
      </c>
      <c r="D32" t="s">
        <v>136</v>
      </c>
      <c r="E32">
        <v>17</v>
      </c>
      <c r="F32" t="s">
        <v>137</v>
      </c>
      <c r="G32" t="s">
        <v>418</v>
      </c>
      <c r="H32">
        <v>4</v>
      </c>
      <c r="I32" t="s">
        <v>82</v>
      </c>
    </row>
    <row r="33" spans="1:9">
      <c r="A33">
        <v>102972</v>
      </c>
      <c r="B33">
        <v>57191</v>
      </c>
      <c r="C33" t="s">
        <v>55</v>
      </c>
      <c r="D33" t="s">
        <v>56</v>
      </c>
      <c r="E33">
        <v>191446</v>
      </c>
      <c r="F33" t="s">
        <v>41</v>
      </c>
      <c r="G33" t="s">
        <v>41</v>
      </c>
      <c r="H33">
        <v>0</v>
      </c>
      <c r="I33" t="s">
        <v>70</v>
      </c>
    </row>
    <row r="34" spans="1:9">
      <c r="A34">
        <v>100065</v>
      </c>
      <c r="B34">
        <v>57211</v>
      </c>
      <c r="C34" t="s">
        <v>138</v>
      </c>
      <c r="D34" t="s">
        <v>139</v>
      </c>
      <c r="E34">
        <v>809711</v>
      </c>
      <c r="F34" t="s">
        <v>46</v>
      </c>
      <c r="G34" t="s">
        <v>416</v>
      </c>
      <c r="H34">
        <v>1</v>
      </c>
      <c r="I34" t="s">
        <v>76</v>
      </c>
    </row>
    <row r="35" spans="1:9">
      <c r="A35">
        <v>102947</v>
      </c>
      <c r="B35">
        <v>57214</v>
      </c>
      <c r="C35" t="s">
        <v>140</v>
      </c>
      <c r="D35" t="s">
        <v>141</v>
      </c>
      <c r="E35">
        <v>179893</v>
      </c>
      <c r="F35" t="s">
        <v>46</v>
      </c>
      <c r="G35" t="s">
        <v>415</v>
      </c>
      <c r="H35">
        <v>2</v>
      </c>
      <c r="I35" t="s">
        <v>88</v>
      </c>
    </row>
    <row r="36" spans="1:9">
      <c r="A36">
        <v>100044</v>
      </c>
      <c r="B36">
        <v>57218</v>
      </c>
      <c r="C36" t="s">
        <v>142</v>
      </c>
      <c r="D36" t="s">
        <v>143</v>
      </c>
      <c r="E36">
        <v>45643</v>
      </c>
      <c r="F36" t="s">
        <v>81</v>
      </c>
      <c r="G36" t="s">
        <v>417</v>
      </c>
      <c r="H36">
        <v>3</v>
      </c>
      <c r="I36" t="s">
        <v>91</v>
      </c>
    </row>
    <row r="37" spans="1:9">
      <c r="A37">
        <v>100116</v>
      </c>
      <c r="B37">
        <v>57222</v>
      </c>
      <c r="C37" t="s">
        <v>144</v>
      </c>
      <c r="D37" t="s">
        <v>145</v>
      </c>
      <c r="E37">
        <v>21130</v>
      </c>
      <c r="F37" t="s">
        <v>85</v>
      </c>
      <c r="G37" t="s">
        <v>419</v>
      </c>
      <c r="H37">
        <v>4</v>
      </c>
      <c r="I37" t="s">
        <v>82</v>
      </c>
    </row>
    <row r="38" spans="1:9">
      <c r="A38">
        <v>103063</v>
      </c>
      <c r="B38">
        <v>57231</v>
      </c>
      <c r="C38" t="s">
        <v>146</v>
      </c>
      <c r="D38" t="s">
        <v>147</v>
      </c>
      <c r="E38">
        <v>697</v>
      </c>
      <c r="F38" t="s">
        <v>73</v>
      </c>
      <c r="G38" t="s">
        <v>416</v>
      </c>
      <c r="H38">
        <v>4</v>
      </c>
      <c r="I38" t="s">
        <v>82</v>
      </c>
    </row>
    <row r="39" spans="1:9">
      <c r="A39">
        <v>100122</v>
      </c>
      <c r="B39">
        <v>57242</v>
      </c>
      <c r="C39" t="s">
        <v>148</v>
      </c>
      <c r="D39" t="s">
        <v>149</v>
      </c>
      <c r="E39">
        <v>151246</v>
      </c>
      <c r="F39" t="s">
        <v>46</v>
      </c>
      <c r="G39" t="s">
        <v>416</v>
      </c>
      <c r="H39">
        <v>2</v>
      </c>
      <c r="I39" t="s">
        <v>88</v>
      </c>
    </row>
    <row r="40" spans="1:9">
      <c r="A40">
        <v>102950</v>
      </c>
      <c r="B40">
        <v>57248</v>
      </c>
      <c r="C40" t="s">
        <v>150</v>
      </c>
      <c r="D40" t="s">
        <v>151</v>
      </c>
      <c r="E40">
        <v>459849</v>
      </c>
      <c r="F40" t="s">
        <v>41</v>
      </c>
      <c r="G40" t="s">
        <v>41</v>
      </c>
      <c r="H40">
        <v>1</v>
      </c>
      <c r="I40" t="s">
        <v>76</v>
      </c>
    </row>
    <row r="41" spans="1:9">
      <c r="A41">
        <v>100112</v>
      </c>
      <c r="B41">
        <v>57254</v>
      </c>
      <c r="C41" t="s">
        <v>152</v>
      </c>
      <c r="D41" t="s">
        <v>153</v>
      </c>
      <c r="E41">
        <v>282253</v>
      </c>
      <c r="F41" t="s">
        <v>46</v>
      </c>
      <c r="G41" t="s">
        <v>416</v>
      </c>
      <c r="H41">
        <v>3</v>
      </c>
      <c r="I41" t="s">
        <v>91</v>
      </c>
    </row>
    <row r="42" spans="1:9">
      <c r="A42">
        <v>102111</v>
      </c>
      <c r="B42">
        <v>57259</v>
      </c>
      <c r="C42" t="s">
        <v>154</v>
      </c>
      <c r="D42" t="s">
        <v>155</v>
      </c>
      <c r="E42">
        <v>13633</v>
      </c>
      <c r="F42" t="s">
        <v>46</v>
      </c>
      <c r="G42" t="s">
        <v>416</v>
      </c>
      <c r="H42">
        <v>3</v>
      </c>
      <c r="I42" t="s">
        <v>91</v>
      </c>
    </row>
    <row r="43" spans="1:9">
      <c r="A43">
        <v>102951</v>
      </c>
      <c r="B43">
        <v>57261</v>
      </c>
      <c r="C43" t="s">
        <v>156</v>
      </c>
      <c r="D43" t="s">
        <v>157</v>
      </c>
      <c r="E43">
        <v>415757</v>
      </c>
      <c r="F43" t="s">
        <v>46</v>
      </c>
      <c r="G43" t="s">
        <v>415</v>
      </c>
      <c r="H43">
        <v>2</v>
      </c>
      <c r="I43" t="s">
        <v>88</v>
      </c>
    </row>
    <row r="44" spans="1:9">
      <c r="A44">
        <v>100028</v>
      </c>
      <c r="B44">
        <v>57266</v>
      </c>
      <c r="C44" t="s">
        <v>60</v>
      </c>
      <c r="D44" t="s">
        <v>61</v>
      </c>
      <c r="E44">
        <v>216250</v>
      </c>
      <c r="F44" t="s">
        <v>46</v>
      </c>
      <c r="G44" t="s">
        <v>415</v>
      </c>
      <c r="H44">
        <v>3</v>
      </c>
      <c r="I44" t="s">
        <v>91</v>
      </c>
    </row>
    <row r="45" spans="1:9">
      <c r="A45">
        <v>102952</v>
      </c>
      <c r="B45">
        <v>57270</v>
      </c>
      <c r="C45" t="s">
        <v>158</v>
      </c>
      <c r="D45" t="s">
        <v>159</v>
      </c>
      <c r="E45">
        <v>833085</v>
      </c>
      <c r="F45" t="s">
        <v>85</v>
      </c>
      <c r="G45" t="s">
        <v>85</v>
      </c>
      <c r="H45">
        <v>2</v>
      </c>
      <c r="I45" t="s">
        <v>88</v>
      </c>
    </row>
    <row r="46" spans="1:9">
      <c r="A46">
        <v>100027</v>
      </c>
      <c r="B46">
        <v>57281</v>
      </c>
      <c r="C46" t="s">
        <v>160</v>
      </c>
      <c r="D46" t="s">
        <v>161</v>
      </c>
      <c r="E46">
        <v>1936</v>
      </c>
      <c r="F46" t="s">
        <v>137</v>
      </c>
      <c r="G46" t="s">
        <v>418</v>
      </c>
      <c r="H46">
        <v>4</v>
      </c>
      <c r="I46" t="s">
        <v>82</v>
      </c>
    </row>
    <row r="47" spans="1:9">
      <c r="A47">
        <v>100091</v>
      </c>
      <c r="B47">
        <v>57293</v>
      </c>
      <c r="C47" t="s">
        <v>162</v>
      </c>
      <c r="D47" t="s">
        <v>163</v>
      </c>
      <c r="E47">
        <v>480847</v>
      </c>
      <c r="F47" t="s">
        <v>81</v>
      </c>
      <c r="G47" t="s">
        <v>81</v>
      </c>
      <c r="H47">
        <v>3</v>
      </c>
      <c r="I47" t="s">
        <v>91</v>
      </c>
    </row>
    <row r="48" spans="1:9">
      <c r="A48">
        <v>100075</v>
      </c>
      <c r="B48">
        <v>57297</v>
      </c>
      <c r="C48" t="s">
        <v>164</v>
      </c>
      <c r="D48" t="s">
        <v>165</v>
      </c>
      <c r="E48">
        <v>161840</v>
      </c>
      <c r="F48" t="s">
        <v>85</v>
      </c>
      <c r="G48" t="s">
        <v>419</v>
      </c>
      <c r="H48">
        <v>4</v>
      </c>
      <c r="I48" t="s">
        <v>82</v>
      </c>
    </row>
    <row r="49" spans="1:9">
      <c r="A49">
        <v>100076</v>
      </c>
      <c r="B49">
        <v>57300</v>
      </c>
      <c r="C49" t="s">
        <v>166</v>
      </c>
      <c r="D49" t="s">
        <v>167</v>
      </c>
      <c r="E49">
        <v>61922</v>
      </c>
      <c r="F49" t="s">
        <v>81</v>
      </c>
      <c r="G49" t="s">
        <v>81</v>
      </c>
      <c r="H49">
        <v>4</v>
      </c>
      <c r="I49" t="s">
        <v>82</v>
      </c>
    </row>
    <row r="50" spans="1:9">
      <c r="A50">
        <v>100061</v>
      </c>
      <c r="B50">
        <v>57315</v>
      </c>
      <c r="C50" t="s">
        <v>168</v>
      </c>
      <c r="D50" t="s">
        <v>169</v>
      </c>
      <c r="E50">
        <v>13197</v>
      </c>
      <c r="F50" t="s">
        <v>46</v>
      </c>
      <c r="G50" t="s">
        <v>416</v>
      </c>
      <c r="H50">
        <v>4</v>
      </c>
      <c r="I50" t="s">
        <v>82</v>
      </c>
    </row>
    <row r="51" spans="1:9">
      <c r="A51">
        <v>102954</v>
      </c>
      <c r="B51">
        <v>57317</v>
      </c>
      <c r="C51" t="s">
        <v>170</v>
      </c>
      <c r="D51" t="s">
        <v>171</v>
      </c>
      <c r="E51">
        <v>512814</v>
      </c>
      <c r="F51" t="s">
        <v>41</v>
      </c>
      <c r="G51" t="s">
        <v>41</v>
      </c>
      <c r="H51">
        <v>2</v>
      </c>
      <c r="I51" t="s">
        <v>88</v>
      </c>
    </row>
    <row r="52" spans="1:9">
      <c r="A52">
        <v>102961</v>
      </c>
      <c r="B52">
        <v>57322</v>
      </c>
      <c r="C52" t="s">
        <v>172</v>
      </c>
      <c r="D52" t="s">
        <v>173</v>
      </c>
      <c r="E52">
        <v>364181</v>
      </c>
      <c r="F52" t="s">
        <v>41</v>
      </c>
      <c r="G52" t="s">
        <v>41</v>
      </c>
      <c r="H52">
        <v>1</v>
      </c>
      <c r="I52" t="s">
        <v>76</v>
      </c>
    </row>
    <row r="53" spans="1:9">
      <c r="A53">
        <v>102617</v>
      </c>
      <c r="B53">
        <v>57327</v>
      </c>
      <c r="C53" t="s">
        <v>174</v>
      </c>
      <c r="D53" t="s">
        <v>175</v>
      </c>
      <c r="E53">
        <v>26487</v>
      </c>
      <c r="F53" t="s">
        <v>85</v>
      </c>
      <c r="G53" t="s">
        <v>419</v>
      </c>
      <c r="H53">
        <v>3</v>
      </c>
      <c r="I53" t="s">
        <v>91</v>
      </c>
    </row>
    <row r="54" spans="1:9">
      <c r="A54">
        <v>102616</v>
      </c>
      <c r="B54">
        <v>57333</v>
      </c>
      <c r="C54" t="s">
        <v>176</v>
      </c>
      <c r="D54" t="s">
        <v>177</v>
      </c>
      <c r="E54">
        <v>429271</v>
      </c>
      <c r="F54" t="s">
        <v>46</v>
      </c>
      <c r="G54" t="s">
        <v>416</v>
      </c>
      <c r="H54">
        <v>3</v>
      </c>
      <c r="I54" t="s">
        <v>91</v>
      </c>
    </row>
    <row r="55" spans="1:9">
      <c r="A55">
        <v>102958</v>
      </c>
      <c r="B55">
        <v>57333</v>
      </c>
      <c r="C55" t="s">
        <v>178</v>
      </c>
      <c r="D55" t="s">
        <v>179</v>
      </c>
      <c r="E55">
        <v>464962</v>
      </c>
      <c r="F55" t="s">
        <v>46</v>
      </c>
      <c r="G55" t="s">
        <v>415</v>
      </c>
      <c r="H55">
        <v>2</v>
      </c>
      <c r="I55" t="s">
        <v>88</v>
      </c>
    </row>
    <row r="56" spans="1:9">
      <c r="A56">
        <v>102957</v>
      </c>
      <c r="B56">
        <v>57339</v>
      </c>
      <c r="C56" t="s">
        <v>180</v>
      </c>
      <c r="D56" t="s">
        <v>181</v>
      </c>
      <c r="E56">
        <v>220070</v>
      </c>
      <c r="F56" t="s">
        <v>41</v>
      </c>
      <c r="G56" t="s">
        <v>41</v>
      </c>
      <c r="H56">
        <v>3</v>
      </c>
      <c r="I56" t="s">
        <v>91</v>
      </c>
    </row>
    <row r="57" spans="1:9">
      <c r="A57">
        <v>102115</v>
      </c>
      <c r="B57">
        <v>57343</v>
      </c>
      <c r="C57" t="s">
        <v>182</v>
      </c>
      <c r="D57" t="s">
        <v>183</v>
      </c>
      <c r="E57">
        <v>82830</v>
      </c>
      <c r="F57" t="s">
        <v>81</v>
      </c>
      <c r="G57" t="s">
        <v>81</v>
      </c>
      <c r="H57">
        <v>4</v>
      </c>
      <c r="I57" t="s">
        <v>82</v>
      </c>
    </row>
    <row r="58" spans="1:9">
      <c r="A58">
        <v>100103</v>
      </c>
      <c r="B58">
        <v>57350</v>
      </c>
      <c r="C58" t="s">
        <v>184</v>
      </c>
      <c r="D58" t="s">
        <v>185</v>
      </c>
      <c r="E58">
        <v>371331</v>
      </c>
      <c r="F58" t="s">
        <v>85</v>
      </c>
      <c r="G58" t="s">
        <v>419</v>
      </c>
      <c r="H58">
        <v>3</v>
      </c>
      <c r="I58" t="s">
        <v>91</v>
      </c>
    </row>
    <row r="59" spans="1:9">
      <c r="A59">
        <v>102114</v>
      </c>
      <c r="B59">
        <v>57352</v>
      </c>
      <c r="C59" t="s">
        <v>186</v>
      </c>
      <c r="D59" t="s">
        <v>187</v>
      </c>
      <c r="E59">
        <v>35619</v>
      </c>
      <c r="F59" t="s">
        <v>85</v>
      </c>
      <c r="G59" t="s">
        <v>85</v>
      </c>
      <c r="H59">
        <v>3</v>
      </c>
      <c r="I59" t="s">
        <v>91</v>
      </c>
    </row>
    <row r="60" spans="1:9">
      <c r="A60">
        <v>102112</v>
      </c>
      <c r="B60">
        <v>57358</v>
      </c>
      <c r="C60" t="s">
        <v>188</v>
      </c>
      <c r="D60" t="s">
        <v>189</v>
      </c>
      <c r="E60">
        <v>110773</v>
      </c>
      <c r="F60" t="s">
        <v>41</v>
      </c>
      <c r="G60" t="s">
        <v>41</v>
      </c>
      <c r="H60">
        <v>3</v>
      </c>
      <c r="I60" t="s">
        <v>91</v>
      </c>
    </row>
    <row r="61" spans="1:9">
      <c r="A61">
        <v>100132</v>
      </c>
      <c r="B61">
        <v>57397</v>
      </c>
      <c r="C61" t="s">
        <v>190</v>
      </c>
      <c r="D61" t="s">
        <v>191</v>
      </c>
      <c r="E61">
        <v>83967</v>
      </c>
      <c r="F61" t="s">
        <v>85</v>
      </c>
      <c r="G61" t="s">
        <v>85</v>
      </c>
      <c r="H61">
        <v>3</v>
      </c>
      <c r="I61" t="s">
        <v>91</v>
      </c>
    </row>
    <row r="62" spans="1:9">
      <c r="A62">
        <v>100059</v>
      </c>
      <c r="B62">
        <v>57418</v>
      </c>
      <c r="C62" t="s">
        <v>192</v>
      </c>
      <c r="D62" t="s">
        <v>193</v>
      </c>
      <c r="E62">
        <v>2937</v>
      </c>
      <c r="F62" t="s">
        <v>137</v>
      </c>
      <c r="G62" t="s">
        <v>137</v>
      </c>
      <c r="H62">
        <v>4</v>
      </c>
      <c r="I62" t="s">
        <v>82</v>
      </c>
    </row>
    <row r="63" spans="1:9">
      <c r="A63">
        <v>102116</v>
      </c>
      <c r="B63">
        <v>57423</v>
      </c>
      <c r="C63" t="s">
        <v>194</v>
      </c>
      <c r="D63" t="s">
        <v>195</v>
      </c>
      <c r="E63">
        <v>126772</v>
      </c>
      <c r="F63" t="s">
        <v>46</v>
      </c>
      <c r="G63" t="s">
        <v>415</v>
      </c>
      <c r="H63">
        <v>3</v>
      </c>
      <c r="I63" t="s">
        <v>91</v>
      </c>
    </row>
    <row r="64" spans="1:9">
      <c r="A64">
        <v>102969</v>
      </c>
      <c r="B64">
        <v>57428</v>
      </c>
      <c r="C64" t="s">
        <v>196</v>
      </c>
      <c r="D64" t="s">
        <v>197</v>
      </c>
      <c r="E64">
        <v>120688</v>
      </c>
      <c r="F64" t="s">
        <v>46</v>
      </c>
      <c r="G64" t="s">
        <v>415</v>
      </c>
      <c r="H64">
        <v>2</v>
      </c>
      <c r="I64" t="s">
        <v>88</v>
      </c>
    </row>
    <row r="65" spans="1:9">
      <c r="A65">
        <v>100144</v>
      </c>
      <c r="B65">
        <v>57439</v>
      </c>
      <c r="C65" t="s">
        <v>198</v>
      </c>
      <c r="D65" t="s">
        <v>199</v>
      </c>
      <c r="E65">
        <v>155820</v>
      </c>
      <c r="F65" t="s">
        <v>46</v>
      </c>
      <c r="G65" t="s">
        <v>415</v>
      </c>
      <c r="H65">
        <v>3</v>
      </c>
      <c r="I65" t="s">
        <v>91</v>
      </c>
    </row>
    <row r="66" spans="1:9">
      <c r="A66">
        <v>100133</v>
      </c>
      <c r="B66">
        <v>57455</v>
      </c>
      <c r="C66" t="s">
        <v>200</v>
      </c>
      <c r="D66" t="s">
        <v>201</v>
      </c>
      <c r="E66">
        <v>82446</v>
      </c>
      <c r="F66" t="s">
        <v>81</v>
      </c>
      <c r="G66" t="s">
        <v>417</v>
      </c>
      <c r="H66">
        <v>3</v>
      </c>
      <c r="I66" t="s">
        <v>91</v>
      </c>
    </row>
    <row r="67" spans="1:9">
      <c r="A67">
        <v>100134</v>
      </c>
      <c r="B67">
        <v>57458</v>
      </c>
      <c r="C67" t="s">
        <v>202</v>
      </c>
      <c r="D67" t="s">
        <v>203</v>
      </c>
      <c r="E67">
        <v>167311</v>
      </c>
      <c r="F67" t="s">
        <v>41</v>
      </c>
      <c r="G67" t="s">
        <v>420</v>
      </c>
      <c r="H67">
        <v>3</v>
      </c>
      <c r="I67" t="s">
        <v>91</v>
      </c>
    </row>
    <row r="68" spans="1:9">
      <c r="A68">
        <v>100030</v>
      </c>
      <c r="B68">
        <v>57466</v>
      </c>
      <c r="C68" t="s">
        <v>204</v>
      </c>
      <c r="D68" t="s">
        <v>205</v>
      </c>
      <c r="E68">
        <v>76580</v>
      </c>
      <c r="F68" t="s">
        <v>85</v>
      </c>
      <c r="G68" t="s">
        <v>419</v>
      </c>
      <c r="H68">
        <v>4</v>
      </c>
      <c r="I68" t="s">
        <v>82</v>
      </c>
    </row>
    <row r="69" spans="1:9">
      <c r="A69">
        <v>100135</v>
      </c>
      <c r="B69">
        <v>57469</v>
      </c>
      <c r="C69" t="s">
        <v>206</v>
      </c>
      <c r="D69" t="s">
        <v>207</v>
      </c>
      <c r="E69">
        <v>132926</v>
      </c>
      <c r="F69" t="s">
        <v>41</v>
      </c>
      <c r="G69" t="s">
        <v>420</v>
      </c>
      <c r="H69">
        <v>3</v>
      </c>
      <c r="I69" t="s">
        <v>91</v>
      </c>
    </row>
    <row r="70" spans="1:9">
      <c r="A70">
        <v>102619</v>
      </c>
      <c r="B70">
        <v>57476</v>
      </c>
      <c r="C70" t="s">
        <v>208</v>
      </c>
      <c r="D70" t="s">
        <v>209</v>
      </c>
      <c r="E70">
        <v>196394</v>
      </c>
      <c r="F70" t="s">
        <v>46</v>
      </c>
      <c r="G70" t="s">
        <v>416</v>
      </c>
      <c r="H70">
        <v>1</v>
      </c>
      <c r="I70" t="s">
        <v>76</v>
      </c>
    </row>
    <row r="71" spans="1:9">
      <c r="A71">
        <v>102618</v>
      </c>
      <c r="B71">
        <v>57477</v>
      </c>
      <c r="C71" t="s">
        <v>210</v>
      </c>
      <c r="D71" t="s">
        <v>211</v>
      </c>
      <c r="E71">
        <v>430268</v>
      </c>
      <c r="F71" t="s">
        <v>46</v>
      </c>
      <c r="G71" t="s">
        <v>416</v>
      </c>
      <c r="H71">
        <v>1</v>
      </c>
      <c r="I71" t="s">
        <v>76</v>
      </c>
    </row>
    <row r="72" spans="1:9">
      <c r="A72">
        <v>100072</v>
      </c>
      <c r="B72">
        <v>57486</v>
      </c>
      <c r="C72" t="s">
        <v>212</v>
      </c>
      <c r="D72" t="s">
        <v>213</v>
      </c>
      <c r="E72">
        <v>166368</v>
      </c>
      <c r="F72" t="s">
        <v>46</v>
      </c>
      <c r="G72" t="s">
        <v>416</v>
      </c>
      <c r="H72">
        <v>3</v>
      </c>
      <c r="I72" t="s">
        <v>91</v>
      </c>
    </row>
    <row r="73" spans="1:9">
      <c r="A73">
        <v>100125</v>
      </c>
      <c r="B73">
        <v>57490</v>
      </c>
      <c r="C73" t="s">
        <v>214</v>
      </c>
      <c r="D73" t="s">
        <v>215</v>
      </c>
      <c r="E73">
        <v>44879</v>
      </c>
      <c r="F73" t="s">
        <v>81</v>
      </c>
      <c r="G73" t="s">
        <v>81</v>
      </c>
      <c r="H73">
        <v>4</v>
      </c>
      <c r="I73" t="s">
        <v>82</v>
      </c>
    </row>
    <row r="74" spans="1:9">
      <c r="A74">
        <v>102963</v>
      </c>
      <c r="B74">
        <v>57499</v>
      </c>
      <c r="C74" t="s">
        <v>216</v>
      </c>
      <c r="D74" t="s">
        <v>217</v>
      </c>
      <c r="E74">
        <v>852324</v>
      </c>
      <c r="F74" t="s">
        <v>41</v>
      </c>
      <c r="G74" t="s">
        <v>41</v>
      </c>
      <c r="H74">
        <v>1</v>
      </c>
      <c r="I74" t="s">
        <v>76</v>
      </c>
    </row>
    <row r="75" spans="1:9">
      <c r="A75">
        <v>102966</v>
      </c>
      <c r="B75">
        <v>57516</v>
      </c>
      <c r="C75" t="s">
        <v>218</v>
      </c>
      <c r="D75" t="s">
        <v>219</v>
      </c>
      <c r="E75">
        <v>732039</v>
      </c>
      <c r="F75" t="s">
        <v>85</v>
      </c>
      <c r="G75" t="s">
        <v>85</v>
      </c>
      <c r="H75">
        <v>1</v>
      </c>
      <c r="I75" t="s">
        <v>76</v>
      </c>
    </row>
    <row r="76" spans="1:9">
      <c r="A76">
        <v>102967</v>
      </c>
      <c r="B76">
        <v>57522</v>
      </c>
      <c r="C76" t="s">
        <v>220</v>
      </c>
      <c r="D76" t="s">
        <v>221</v>
      </c>
      <c r="E76">
        <v>419602</v>
      </c>
      <c r="F76" t="s">
        <v>81</v>
      </c>
      <c r="G76" t="s">
        <v>81</v>
      </c>
      <c r="H76">
        <v>1</v>
      </c>
      <c r="I76" t="s">
        <v>76</v>
      </c>
    </row>
    <row r="77" spans="1:9">
      <c r="A77">
        <v>205660</v>
      </c>
      <c r="B77">
        <v>57525</v>
      </c>
      <c r="C77" t="s">
        <v>222</v>
      </c>
      <c r="D77" t="s">
        <v>223</v>
      </c>
      <c r="E77">
        <v>258529</v>
      </c>
      <c r="F77" t="s">
        <v>41</v>
      </c>
      <c r="G77" t="s">
        <v>41</v>
      </c>
      <c r="H77">
        <v>2</v>
      </c>
      <c r="I77" t="s">
        <v>88</v>
      </c>
    </row>
    <row r="78" spans="1:9">
      <c r="A78">
        <v>100063</v>
      </c>
      <c r="B78">
        <v>57555</v>
      </c>
      <c r="C78" t="s">
        <v>224</v>
      </c>
      <c r="D78" t="s">
        <v>225</v>
      </c>
      <c r="E78">
        <v>201372</v>
      </c>
      <c r="F78" t="s">
        <v>46</v>
      </c>
      <c r="G78" t="s">
        <v>416</v>
      </c>
      <c r="H78">
        <v>4</v>
      </c>
      <c r="I78" t="s">
        <v>82</v>
      </c>
    </row>
    <row r="79" spans="1:9">
      <c r="A79">
        <v>100062</v>
      </c>
      <c r="B79">
        <v>57559</v>
      </c>
      <c r="C79" t="s">
        <v>226</v>
      </c>
      <c r="D79" t="s">
        <v>227</v>
      </c>
      <c r="E79">
        <v>388796</v>
      </c>
      <c r="F79" t="s">
        <v>46</v>
      </c>
      <c r="G79" t="s">
        <v>416</v>
      </c>
      <c r="H79">
        <v>3</v>
      </c>
      <c r="I79" t="s">
        <v>91</v>
      </c>
    </row>
    <row r="80" spans="1:9">
      <c r="A80">
        <v>100032</v>
      </c>
      <c r="B80">
        <v>57629</v>
      </c>
      <c r="C80" t="s">
        <v>228</v>
      </c>
      <c r="D80" t="s">
        <v>229</v>
      </c>
      <c r="E80">
        <v>1493</v>
      </c>
      <c r="F80" t="s">
        <v>137</v>
      </c>
      <c r="G80" t="s">
        <v>418</v>
      </c>
      <c r="H80">
        <v>3</v>
      </c>
      <c r="I80" t="s">
        <v>91</v>
      </c>
    </row>
    <row r="81" spans="1:9">
      <c r="A81">
        <v>100031</v>
      </c>
      <c r="B81">
        <v>57630</v>
      </c>
      <c r="C81" t="s">
        <v>230</v>
      </c>
      <c r="D81" t="s">
        <v>231</v>
      </c>
      <c r="E81">
        <v>40921</v>
      </c>
      <c r="F81" t="s">
        <v>81</v>
      </c>
      <c r="G81" t="s">
        <v>417</v>
      </c>
      <c r="H81">
        <v>3</v>
      </c>
      <c r="I81" t="s">
        <v>91</v>
      </c>
    </row>
    <row r="82" spans="1:9">
      <c r="A82">
        <v>205489</v>
      </c>
      <c r="B82">
        <v>57646</v>
      </c>
      <c r="C82" t="s">
        <v>232</v>
      </c>
      <c r="D82" t="s">
        <v>233</v>
      </c>
      <c r="E82">
        <v>44973</v>
      </c>
      <c r="F82" t="s">
        <v>41</v>
      </c>
      <c r="G82" t="s">
        <v>41</v>
      </c>
      <c r="H82">
        <v>3</v>
      </c>
      <c r="I82" t="s">
        <v>91</v>
      </c>
    </row>
    <row r="83" spans="1:9">
      <c r="A83">
        <v>100018</v>
      </c>
      <c r="B83">
        <v>57672</v>
      </c>
      <c r="C83" t="s">
        <v>234</v>
      </c>
      <c r="D83" t="s">
        <v>235</v>
      </c>
      <c r="E83">
        <v>88288</v>
      </c>
      <c r="F83" t="s">
        <v>41</v>
      </c>
      <c r="G83" t="s">
        <v>420</v>
      </c>
      <c r="H83">
        <v>3</v>
      </c>
      <c r="I83" t="s">
        <v>91</v>
      </c>
    </row>
    <row r="84" spans="1:9">
      <c r="A84">
        <v>205497</v>
      </c>
      <c r="B84">
        <v>57691</v>
      </c>
      <c r="C84" t="s">
        <v>236</v>
      </c>
      <c r="D84" t="s">
        <v>237</v>
      </c>
      <c r="E84">
        <v>117038</v>
      </c>
      <c r="F84" t="s">
        <v>238</v>
      </c>
      <c r="G84" t="s">
        <v>238</v>
      </c>
      <c r="H84">
        <v>0</v>
      </c>
      <c r="I84" t="s">
        <v>70</v>
      </c>
    </row>
    <row r="85" spans="1:9">
      <c r="A85">
        <v>100012</v>
      </c>
      <c r="B85">
        <v>57696</v>
      </c>
      <c r="C85" t="s">
        <v>239</v>
      </c>
      <c r="D85" t="s">
        <v>240</v>
      </c>
      <c r="E85">
        <v>792563</v>
      </c>
      <c r="F85" t="s">
        <v>46</v>
      </c>
      <c r="G85" t="s">
        <v>415</v>
      </c>
      <c r="H85">
        <v>1</v>
      </c>
      <c r="I85" t="s">
        <v>76</v>
      </c>
    </row>
    <row r="86" spans="1:9">
      <c r="A86">
        <v>102118</v>
      </c>
      <c r="B86">
        <v>57707</v>
      </c>
      <c r="C86" t="s">
        <v>241</v>
      </c>
      <c r="D86" t="s">
        <v>242</v>
      </c>
      <c r="E86">
        <v>78369</v>
      </c>
      <c r="F86" t="s">
        <v>46</v>
      </c>
      <c r="G86" t="s">
        <v>416</v>
      </c>
      <c r="H86">
        <v>3</v>
      </c>
      <c r="I86" t="s">
        <v>91</v>
      </c>
    </row>
    <row r="87" spans="1:9">
      <c r="A87">
        <v>102976</v>
      </c>
      <c r="B87">
        <v>57727</v>
      </c>
      <c r="C87" t="s">
        <v>243</v>
      </c>
      <c r="D87" t="s">
        <v>244</v>
      </c>
      <c r="E87">
        <v>420629</v>
      </c>
      <c r="F87" t="s">
        <v>85</v>
      </c>
      <c r="G87" t="s">
        <v>85</v>
      </c>
      <c r="H87">
        <v>1</v>
      </c>
      <c r="I87" t="s">
        <v>76</v>
      </c>
    </row>
    <row r="88" spans="1:9">
      <c r="A88">
        <v>100142</v>
      </c>
      <c r="B88">
        <v>57733</v>
      </c>
      <c r="C88" t="s">
        <v>245</v>
      </c>
      <c r="D88" t="s">
        <v>246</v>
      </c>
      <c r="E88">
        <v>191</v>
      </c>
      <c r="F88" t="s">
        <v>137</v>
      </c>
      <c r="G88" t="s">
        <v>137</v>
      </c>
      <c r="H88">
        <v>4</v>
      </c>
      <c r="I88" t="s">
        <v>82</v>
      </c>
    </row>
    <row r="89" spans="1:9">
      <c r="A89">
        <v>102622</v>
      </c>
      <c r="B89">
        <v>57738</v>
      </c>
      <c r="C89" t="s">
        <v>247</v>
      </c>
      <c r="D89" t="s">
        <v>248</v>
      </c>
      <c r="E89">
        <v>58722</v>
      </c>
      <c r="F89" t="s">
        <v>81</v>
      </c>
      <c r="G89" t="s">
        <v>417</v>
      </c>
      <c r="H89">
        <v>3</v>
      </c>
      <c r="I89" t="s">
        <v>91</v>
      </c>
    </row>
    <row r="90" spans="1:9">
      <c r="A90">
        <v>102620</v>
      </c>
      <c r="B90">
        <v>57744</v>
      </c>
      <c r="C90" t="s">
        <v>249</v>
      </c>
      <c r="D90" t="s">
        <v>250</v>
      </c>
      <c r="E90">
        <v>21263</v>
      </c>
      <c r="F90" t="s">
        <v>85</v>
      </c>
      <c r="G90" t="s">
        <v>419</v>
      </c>
      <c r="H90">
        <v>3</v>
      </c>
      <c r="I90" t="s">
        <v>91</v>
      </c>
    </row>
    <row r="91" spans="1:9">
      <c r="A91">
        <v>102621</v>
      </c>
      <c r="B91">
        <v>57747</v>
      </c>
      <c r="C91" t="s">
        <v>251</v>
      </c>
      <c r="D91" t="s">
        <v>252</v>
      </c>
      <c r="E91">
        <v>70445</v>
      </c>
      <c r="F91" t="s">
        <v>41</v>
      </c>
      <c r="G91" t="s">
        <v>420</v>
      </c>
      <c r="H91">
        <v>3</v>
      </c>
      <c r="I91" t="s">
        <v>91</v>
      </c>
    </row>
    <row r="92" spans="1:9">
      <c r="A92">
        <v>102117</v>
      </c>
      <c r="B92">
        <v>57753</v>
      </c>
      <c r="C92" t="s">
        <v>253</v>
      </c>
      <c r="D92" t="s">
        <v>254</v>
      </c>
      <c r="E92">
        <v>50484</v>
      </c>
      <c r="F92" t="s">
        <v>41</v>
      </c>
      <c r="G92" t="s">
        <v>420</v>
      </c>
      <c r="H92">
        <v>3</v>
      </c>
      <c r="I92" t="s">
        <v>91</v>
      </c>
    </row>
    <row r="93" spans="1:9">
      <c r="A93">
        <v>102975</v>
      </c>
      <c r="B93">
        <v>57755</v>
      </c>
      <c r="C93" t="s">
        <v>255</v>
      </c>
      <c r="D93" t="s">
        <v>256</v>
      </c>
      <c r="E93">
        <v>85179</v>
      </c>
      <c r="F93" t="s">
        <v>81</v>
      </c>
      <c r="G93" t="s">
        <v>81</v>
      </c>
      <c r="H93">
        <v>2</v>
      </c>
      <c r="I93" t="s">
        <v>88</v>
      </c>
    </row>
    <row r="94" spans="1:9">
      <c r="A94">
        <v>100093</v>
      </c>
      <c r="B94">
        <v>57758</v>
      </c>
      <c r="C94" t="s">
        <v>257</v>
      </c>
      <c r="D94" t="s">
        <v>258</v>
      </c>
      <c r="E94">
        <v>760</v>
      </c>
      <c r="F94" t="s">
        <v>137</v>
      </c>
      <c r="G94" t="s">
        <v>418</v>
      </c>
      <c r="H94">
        <v>4</v>
      </c>
      <c r="I94" t="s">
        <v>82</v>
      </c>
    </row>
    <row r="95" spans="1:9">
      <c r="A95">
        <v>100020</v>
      </c>
      <c r="B95">
        <v>57759</v>
      </c>
      <c r="C95" t="s">
        <v>259</v>
      </c>
      <c r="D95" t="s">
        <v>260</v>
      </c>
      <c r="E95">
        <v>9995</v>
      </c>
      <c r="F95" t="s">
        <v>85</v>
      </c>
      <c r="G95" t="s">
        <v>419</v>
      </c>
      <c r="H95">
        <v>3</v>
      </c>
      <c r="I95" t="s">
        <v>91</v>
      </c>
    </row>
    <row r="96" spans="1:9">
      <c r="A96">
        <v>100137</v>
      </c>
      <c r="B96">
        <v>57764</v>
      </c>
      <c r="C96" t="s">
        <v>261</v>
      </c>
      <c r="D96" t="s">
        <v>262</v>
      </c>
      <c r="E96">
        <v>12779</v>
      </c>
      <c r="F96" t="s">
        <v>46</v>
      </c>
      <c r="G96" t="s">
        <v>416</v>
      </c>
      <c r="H96">
        <v>2</v>
      </c>
      <c r="I96" t="s">
        <v>88</v>
      </c>
    </row>
    <row r="97" spans="1:9">
      <c r="A97">
        <v>100136</v>
      </c>
      <c r="B97">
        <v>57766</v>
      </c>
      <c r="C97" t="s">
        <v>263</v>
      </c>
      <c r="D97" t="s">
        <v>264</v>
      </c>
      <c r="E97">
        <v>9219</v>
      </c>
      <c r="F97" t="s">
        <v>85</v>
      </c>
      <c r="G97" t="s">
        <v>419</v>
      </c>
      <c r="H97">
        <v>4</v>
      </c>
      <c r="I97" t="s">
        <v>82</v>
      </c>
    </row>
    <row r="98" spans="1:9">
      <c r="A98">
        <v>100096</v>
      </c>
      <c r="B98">
        <v>57778</v>
      </c>
      <c r="C98" t="s">
        <v>265</v>
      </c>
      <c r="D98" t="s">
        <v>266</v>
      </c>
      <c r="E98">
        <v>367593</v>
      </c>
      <c r="F98" t="s">
        <v>46</v>
      </c>
      <c r="G98" t="s">
        <v>416</v>
      </c>
      <c r="H98">
        <v>2</v>
      </c>
      <c r="I98" t="s">
        <v>88</v>
      </c>
    </row>
    <row r="99" spans="1:9">
      <c r="A99">
        <v>100100</v>
      </c>
      <c r="B99">
        <v>57791</v>
      </c>
      <c r="C99" t="s">
        <v>267</v>
      </c>
      <c r="D99" t="s">
        <v>268</v>
      </c>
      <c r="E99">
        <v>147044</v>
      </c>
      <c r="F99" t="s">
        <v>41</v>
      </c>
      <c r="G99" t="s">
        <v>420</v>
      </c>
      <c r="H99">
        <v>3</v>
      </c>
      <c r="I99" t="s">
        <v>91</v>
      </c>
    </row>
    <row r="100" spans="1:9">
      <c r="A100">
        <v>103061</v>
      </c>
      <c r="B100">
        <v>57803</v>
      </c>
      <c r="C100" t="s">
        <v>269</v>
      </c>
      <c r="D100" t="s">
        <v>270</v>
      </c>
      <c r="E100">
        <v>994</v>
      </c>
      <c r="F100" t="s">
        <v>73</v>
      </c>
      <c r="G100" t="s">
        <v>416</v>
      </c>
      <c r="H100">
        <v>4</v>
      </c>
      <c r="I100" t="s">
        <v>82</v>
      </c>
    </row>
    <row r="101" spans="1:9">
      <c r="A101">
        <v>100011</v>
      </c>
      <c r="B101">
        <v>57817</v>
      </c>
      <c r="C101" t="s">
        <v>271</v>
      </c>
      <c r="D101" t="s">
        <v>272</v>
      </c>
      <c r="E101">
        <v>101187</v>
      </c>
      <c r="F101" t="s">
        <v>41</v>
      </c>
      <c r="G101" t="s">
        <v>420</v>
      </c>
      <c r="H101">
        <v>3</v>
      </c>
      <c r="I101" t="s">
        <v>91</v>
      </c>
    </row>
    <row r="102" spans="1:9">
      <c r="A102">
        <v>100001</v>
      </c>
      <c r="B102">
        <v>57827</v>
      </c>
      <c r="C102" t="s">
        <v>273</v>
      </c>
      <c r="D102" t="s">
        <v>274</v>
      </c>
      <c r="E102">
        <v>276642</v>
      </c>
      <c r="F102" t="s">
        <v>41</v>
      </c>
      <c r="G102" t="s">
        <v>41</v>
      </c>
      <c r="H102">
        <v>2</v>
      </c>
      <c r="I102" t="s">
        <v>88</v>
      </c>
    </row>
    <row r="103" spans="1:9">
      <c r="A103">
        <v>100034</v>
      </c>
      <c r="B103">
        <v>57832</v>
      </c>
      <c r="C103" t="s">
        <v>275</v>
      </c>
      <c r="D103" t="s">
        <v>276</v>
      </c>
      <c r="E103">
        <v>260695</v>
      </c>
      <c r="F103" t="s">
        <v>85</v>
      </c>
      <c r="G103" t="s">
        <v>419</v>
      </c>
      <c r="H103">
        <v>3</v>
      </c>
      <c r="I103" t="s">
        <v>91</v>
      </c>
    </row>
    <row r="104" spans="1:9">
      <c r="A104">
        <v>100035</v>
      </c>
      <c r="B104">
        <v>57834</v>
      </c>
      <c r="C104" t="s">
        <v>277</v>
      </c>
      <c r="D104" t="s">
        <v>278</v>
      </c>
      <c r="E104">
        <v>36725</v>
      </c>
      <c r="F104" t="s">
        <v>81</v>
      </c>
      <c r="G104" t="s">
        <v>417</v>
      </c>
      <c r="H104">
        <v>4</v>
      </c>
      <c r="I104" t="s">
        <v>82</v>
      </c>
    </row>
    <row r="105" spans="1:9">
      <c r="A105">
        <v>100033</v>
      </c>
      <c r="B105">
        <v>57836</v>
      </c>
      <c r="C105" t="s">
        <v>44</v>
      </c>
      <c r="D105" t="s">
        <v>45</v>
      </c>
      <c r="E105">
        <v>624641</v>
      </c>
      <c r="F105" t="s">
        <v>46</v>
      </c>
      <c r="G105" t="s">
        <v>416</v>
      </c>
      <c r="H105">
        <v>1</v>
      </c>
      <c r="I105" t="s">
        <v>76</v>
      </c>
    </row>
    <row r="106" spans="1:9">
      <c r="A106">
        <v>100082</v>
      </c>
      <c r="B106">
        <v>57843</v>
      </c>
      <c r="C106" t="s">
        <v>279</v>
      </c>
      <c r="D106" t="s">
        <v>280</v>
      </c>
      <c r="E106">
        <v>407106</v>
      </c>
      <c r="F106" t="s">
        <v>46</v>
      </c>
      <c r="G106" t="s">
        <v>416</v>
      </c>
      <c r="H106">
        <v>1</v>
      </c>
      <c r="I106" t="s">
        <v>76</v>
      </c>
    </row>
    <row r="107" spans="1:9">
      <c r="A107">
        <v>103060</v>
      </c>
      <c r="B107">
        <v>57845</v>
      </c>
      <c r="C107" t="s">
        <v>281</v>
      </c>
      <c r="D107" t="s">
        <v>282</v>
      </c>
      <c r="E107">
        <v>33286</v>
      </c>
      <c r="F107" t="s">
        <v>81</v>
      </c>
      <c r="G107" t="s">
        <v>417</v>
      </c>
      <c r="H107">
        <v>4</v>
      </c>
      <c r="I107" t="s">
        <v>82</v>
      </c>
    </row>
    <row r="108" spans="1:9">
      <c r="A108">
        <v>100067</v>
      </c>
      <c r="B108">
        <v>57852</v>
      </c>
      <c r="C108" t="s">
        <v>283</v>
      </c>
      <c r="D108" t="s">
        <v>284</v>
      </c>
      <c r="E108">
        <v>892032</v>
      </c>
      <c r="F108" t="s">
        <v>46</v>
      </c>
      <c r="G108" t="s">
        <v>416</v>
      </c>
      <c r="H108">
        <v>3</v>
      </c>
      <c r="I108" t="s">
        <v>91</v>
      </c>
    </row>
    <row r="109" spans="1:9">
      <c r="A109">
        <v>100143</v>
      </c>
      <c r="B109">
        <v>57875</v>
      </c>
      <c r="C109" t="s">
        <v>285</v>
      </c>
      <c r="D109" t="s">
        <v>286</v>
      </c>
      <c r="E109">
        <v>5149</v>
      </c>
      <c r="F109" t="s">
        <v>137</v>
      </c>
      <c r="G109" t="s">
        <v>137</v>
      </c>
      <c r="H109">
        <v>3</v>
      </c>
      <c r="I109" t="s">
        <v>91</v>
      </c>
    </row>
    <row r="110" spans="1:9">
      <c r="A110">
        <v>100039</v>
      </c>
      <c r="B110">
        <v>57880</v>
      </c>
      <c r="C110" t="s">
        <v>287</v>
      </c>
      <c r="D110" t="s">
        <v>288</v>
      </c>
      <c r="E110">
        <v>382</v>
      </c>
      <c r="F110" t="s">
        <v>137</v>
      </c>
      <c r="G110" t="s">
        <v>418</v>
      </c>
      <c r="H110">
        <v>4</v>
      </c>
      <c r="I110" t="s">
        <v>82</v>
      </c>
    </row>
    <row r="111" spans="1:9">
      <c r="A111">
        <v>100004</v>
      </c>
      <c r="B111">
        <v>57890</v>
      </c>
      <c r="C111" t="s">
        <v>289</v>
      </c>
      <c r="D111" t="s">
        <v>290</v>
      </c>
      <c r="E111">
        <v>84641</v>
      </c>
      <c r="F111" t="s">
        <v>238</v>
      </c>
      <c r="G111" t="s">
        <v>421</v>
      </c>
      <c r="H111">
        <v>2</v>
      </c>
      <c r="I111" t="s">
        <v>88</v>
      </c>
    </row>
    <row r="112" spans="1:9">
      <c r="A112">
        <v>102119</v>
      </c>
      <c r="B112">
        <v>57895</v>
      </c>
      <c r="C112" t="s">
        <v>291</v>
      </c>
      <c r="D112" t="s">
        <v>292</v>
      </c>
      <c r="E112">
        <v>159880</v>
      </c>
      <c r="F112" t="s">
        <v>41</v>
      </c>
      <c r="G112" t="s">
        <v>41</v>
      </c>
      <c r="H112">
        <v>2</v>
      </c>
      <c r="I112" t="s">
        <v>88</v>
      </c>
    </row>
    <row r="113" spans="1:9">
      <c r="A113">
        <v>100110</v>
      </c>
      <c r="B113">
        <v>57898</v>
      </c>
      <c r="C113" t="s">
        <v>293</v>
      </c>
      <c r="D113" t="s">
        <v>294</v>
      </c>
      <c r="E113">
        <v>85176</v>
      </c>
      <c r="F113" t="s">
        <v>46</v>
      </c>
      <c r="G113" t="s">
        <v>416</v>
      </c>
      <c r="H113">
        <v>3</v>
      </c>
      <c r="I113" t="s">
        <v>91</v>
      </c>
    </row>
    <row r="114" spans="1:9">
      <c r="A114">
        <v>102977</v>
      </c>
      <c r="B114">
        <v>57899</v>
      </c>
      <c r="C114" t="s">
        <v>47</v>
      </c>
      <c r="D114" t="s">
        <v>48</v>
      </c>
      <c r="E114">
        <v>455139</v>
      </c>
      <c r="F114" t="s">
        <v>46</v>
      </c>
      <c r="G114" t="s">
        <v>415</v>
      </c>
      <c r="H114">
        <v>2</v>
      </c>
      <c r="I114" t="s">
        <v>88</v>
      </c>
    </row>
    <row r="115" spans="1:9">
      <c r="A115">
        <v>100049</v>
      </c>
      <c r="B115">
        <v>57903</v>
      </c>
      <c r="C115" t="s">
        <v>295</v>
      </c>
      <c r="D115" t="s">
        <v>296</v>
      </c>
      <c r="E115">
        <v>420374</v>
      </c>
      <c r="F115" t="s">
        <v>46</v>
      </c>
      <c r="G115" t="s">
        <v>416</v>
      </c>
      <c r="H115">
        <v>2</v>
      </c>
      <c r="I115" t="s">
        <v>88</v>
      </c>
    </row>
    <row r="116" spans="1:9">
      <c r="A116">
        <v>100109</v>
      </c>
      <c r="B116">
        <v>57906</v>
      </c>
      <c r="C116" t="s">
        <v>297</v>
      </c>
      <c r="D116" t="s">
        <v>298</v>
      </c>
      <c r="E116">
        <v>77567</v>
      </c>
      <c r="F116" t="s">
        <v>41</v>
      </c>
      <c r="G116" t="s">
        <v>420</v>
      </c>
      <c r="H116">
        <v>3</v>
      </c>
      <c r="I116" t="s">
        <v>91</v>
      </c>
    </row>
    <row r="117" spans="1:9">
      <c r="A117">
        <v>100047</v>
      </c>
      <c r="B117">
        <v>57909</v>
      </c>
      <c r="C117" t="s">
        <v>299</v>
      </c>
      <c r="D117" t="s">
        <v>300</v>
      </c>
      <c r="E117">
        <v>178</v>
      </c>
      <c r="F117" t="s">
        <v>137</v>
      </c>
      <c r="G117" t="s">
        <v>418</v>
      </c>
      <c r="H117">
        <v>3</v>
      </c>
      <c r="I117" t="s">
        <v>91</v>
      </c>
    </row>
    <row r="118" spans="1:9">
      <c r="A118">
        <v>100046</v>
      </c>
      <c r="B118">
        <v>57912</v>
      </c>
      <c r="C118" t="s">
        <v>301</v>
      </c>
      <c r="D118" t="s">
        <v>302</v>
      </c>
      <c r="E118">
        <v>347</v>
      </c>
      <c r="F118" t="s">
        <v>303</v>
      </c>
      <c r="G118" t="s">
        <v>422</v>
      </c>
      <c r="H118">
        <v>3</v>
      </c>
      <c r="I118" t="s">
        <v>91</v>
      </c>
    </row>
    <row r="119" spans="1:9">
      <c r="A119">
        <v>100048</v>
      </c>
      <c r="B119">
        <v>57919</v>
      </c>
      <c r="C119" t="s">
        <v>304</v>
      </c>
      <c r="D119" t="s">
        <v>305</v>
      </c>
      <c r="E119">
        <v>257805</v>
      </c>
      <c r="F119" t="s">
        <v>41</v>
      </c>
      <c r="G119" t="s">
        <v>41</v>
      </c>
      <c r="H119">
        <v>3</v>
      </c>
      <c r="I119" t="s">
        <v>91</v>
      </c>
    </row>
    <row r="120" spans="1:9">
      <c r="A120">
        <v>100056</v>
      </c>
      <c r="B120">
        <v>57929</v>
      </c>
      <c r="C120" t="s">
        <v>306</v>
      </c>
      <c r="D120" t="s">
        <v>307</v>
      </c>
      <c r="E120">
        <v>610372</v>
      </c>
      <c r="F120" t="s">
        <v>46</v>
      </c>
      <c r="G120" t="s">
        <v>415</v>
      </c>
      <c r="H120">
        <v>1</v>
      </c>
      <c r="I120" t="s">
        <v>76</v>
      </c>
    </row>
    <row r="121" spans="1:9">
      <c r="A121">
        <v>102611</v>
      </c>
      <c r="B121">
        <v>57934</v>
      </c>
      <c r="C121" t="s">
        <v>308</v>
      </c>
      <c r="D121" t="s">
        <v>309</v>
      </c>
      <c r="E121">
        <v>133135</v>
      </c>
      <c r="F121" t="s">
        <v>46</v>
      </c>
      <c r="G121" t="s">
        <v>416</v>
      </c>
      <c r="H121">
        <v>3</v>
      </c>
      <c r="I121" t="s">
        <v>91</v>
      </c>
    </row>
    <row r="122" spans="1:9">
      <c r="A122">
        <v>102943</v>
      </c>
      <c r="B122">
        <v>57936</v>
      </c>
      <c r="C122" t="s">
        <v>310</v>
      </c>
      <c r="D122" t="s">
        <v>311</v>
      </c>
      <c r="E122">
        <v>238983</v>
      </c>
      <c r="F122" t="s">
        <v>46</v>
      </c>
      <c r="G122" t="s">
        <v>415</v>
      </c>
      <c r="H122">
        <v>0</v>
      </c>
      <c r="I122" t="s">
        <v>70</v>
      </c>
    </row>
    <row r="123" spans="1:9">
      <c r="A123">
        <v>100054</v>
      </c>
      <c r="B123">
        <v>57939</v>
      </c>
      <c r="C123" t="s">
        <v>312</v>
      </c>
      <c r="D123" t="s">
        <v>313</v>
      </c>
      <c r="E123">
        <v>184297</v>
      </c>
      <c r="F123" t="s">
        <v>85</v>
      </c>
      <c r="G123" t="s">
        <v>419</v>
      </c>
      <c r="H123">
        <v>3</v>
      </c>
      <c r="I123" t="s">
        <v>91</v>
      </c>
    </row>
    <row r="124" spans="1:9">
      <c r="A124">
        <v>100055</v>
      </c>
      <c r="B124">
        <v>57942</v>
      </c>
      <c r="C124" t="s">
        <v>314</v>
      </c>
      <c r="D124" t="s">
        <v>315</v>
      </c>
      <c r="E124">
        <v>1807</v>
      </c>
      <c r="F124" t="s">
        <v>81</v>
      </c>
      <c r="G124" t="s">
        <v>417</v>
      </c>
      <c r="H124">
        <v>4</v>
      </c>
      <c r="I124" t="s">
        <v>82</v>
      </c>
    </row>
    <row r="125" spans="1:9">
      <c r="A125">
        <v>100094</v>
      </c>
      <c r="B125">
        <v>57971</v>
      </c>
      <c r="C125" t="s">
        <v>316</v>
      </c>
      <c r="D125" t="s">
        <v>317</v>
      </c>
      <c r="E125">
        <v>16734</v>
      </c>
      <c r="F125" t="s">
        <v>81</v>
      </c>
      <c r="G125" t="s">
        <v>81</v>
      </c>
      <c r="H125">
        <v>3</v>
      </c>
      <c r="I125" t="s">
        <v>91</v>
      </c>
    </row>
    <row r="126" spans="1:9">
      <c r="A126">
        <v>102626</v>
      </c>
      <c r="B126">
        <v>57992</v>
      </c>
      <c r="C126" t="s">
        <v>318</v>
      </c>
      <c r="D126" t="s">
        <v>319</v>
      </c>
      <c r="E126">
        <v>266986</v>
      </c>
      <c r="F126" t="s">
        <v>46</v>
      </c>
      <c r="G126" t="s">
        <v>416</v>
      </c>
      <c r="H126">
        <v>2</v>
      </c>
      <c r="I126" t="s">
        <v>88</v>
      </c>
    </row>
    <row r="127" spans="1:9">
      <c r="A127">
        <v>103031</v>
      </c>
      <c r="B127">
        <v>58010</v>
      </c>
      <c r="C127" t="s">
        <v>320</v>
      </c>
      <c r="D127" t="s">
        <v>321</v>
      </c>
      <c r="E127">
        <v>55177</v>
      </c>
      <c r="F127" t="s">
        <v>41</v>
      </c>
      <c r="G127" t="s">
        <v>41</v>
      </c>
      <c r="H127">
        <v>3</v>
      </c>
      <c r="I127" t="s">
        <v>91</v>
      </c>
    </row>
    <row r="128" spans="1:9">
      <c r="A128">
        <v>100090</v>
      </c>
      <c r="B128">
        <v>58020</v>
      </c>
      <c r="C128" t="s">
        <v>322</v>
      </c>
      <c r="D128" t="s">
        <v>323</v>
      </c>
      <c r="E128">
        <v>145451</v>
      </c>
      <c r="F128" t="s">
        <v>41</v>
      </c>
      <c r="G128" t="s">
        <v>41</v>
      </c>
      <c r="H128">
        <v>3</v>
      </c>
      <c r="I128" t="s">
        <v>91</v>
      </c>
    </row>
    <row r="129" spans="1:9">
      <c r="A129">
        <v>103036</v>
      </c>
      <c r="B129">
        <v>58030</v>
      </c>
      <c r="C129" t="s">
        <v>324</v>
      </c>
      <c r="D129" t="s">
        <v>325</v>
      </c>
      <c r="E129">
        <v>721367</v>
      </c>
      <c r="F129" t="s">
        <v>46</v>
      </c>
      <c r="G129" t="s">
        <v>415</v>
      </c>
      <c r="H129">
        <v>1</v>
      </c>
      <c r="I129" t="s">
        <v>76</v>
      </c>
    </row>
    <row r="130" spans="1:9">
      <c r="A130">
        <v>100123</v>
      </c>
      <c r="B130">
        <v>58044</v>
      </c>
      <c r="C130" t="s">
        <v>326</v>
      </c>
      <c r="D130" t="s">
        <v>327</v>
      </c>
      <c r="E130">
        <v>15532</v>
      </c>
      <c r="F130" t="s">
        <v>303</v>
      </c>
      <c r="G130" t="s">
        <v>303</v>
      </c>
      <c r="H130">
        <v>3</v>
      </c>
      <c r="I130" t="s">
        <v>91</v>
      </c>
    </row>
    <row r="131" spans="1:9">
      <c r="A131">
        <v>103020</v>
      </c>
      <c r="B131">
        <v>58063</v>
      </c>
      <c r="C131" t="s">
        <v>328</v>
      </c>
      <c r="D131" t="s">
        <v>329</v>
      </c>
      <c r="E131">
        <v>405139</v>
      </c>
      <c r="F131" t="s">
        <v>41</v>
      </c>
      <c r="G131" t="s">
        <v>41</v>
      </c>
      <c r="H131">
        <v>1</v>
      </c>
      <c r="I131" t="s">
        <v>76</v>
      </c>
    </row>
    <row r="132" spans="1:9">
      <c r="A132">
        <v>103021</v>
      </c>
      <c r="B132">
        <v>58065</v>
      </c>
      <c r="C132" t="s">
        <v>330</v>
      </c>
      <c r="D132" t="s">
        <v>331</v>
      </c>
      <c r="E132">
        <v>337118</v>
      </c>
      <c r="F132" t="s">
        <v>41</v>
      </c>
      <c r="G132" t="s">
        <v>41</v>
      </c>
      <c r="H132">
        <v>2</v>
      </c>
      <c r="I132" t="s">
        <v>88</v>
      </c>
    </row>
    <row r="133" spans="1:9">
      <c r="A133">
        <v>103022</v>
      </c>
      <c r="B133">
        <v>58067</v>
      </c>
      <c r="C133" t="s">
        <v>332</v>
      </c>
      <c r="D133" t="s">
        <v>333</v>
      </c>
      <c r="E133">
        <v>11740</v>
      </c>
      <c r="F133" t="s">
        <v>41</v>
      </c>
      <c r="G133" t="s">
        <v>41</v>
      </c>
      <c r="H133">
        <v>4</v>
      </c>
      <c r="I133" t="s">
        <v>82</v>
      </c>
    </row>
    <row r="134" spans="1:9">
      <c r="A134">
        <v>100097</v>
      </c>
      <c r="B134">
        <v>58075</v>
      </c>
      <c r="C134" t="s">
        <v>334</v>
      </c>
      <c r="D134" t="s">
        <v>335</v>
      </c>
      <c r="E134">
        <v>142201</v>
      </c>
      <c r="F134" t="s">
        <v>128</v>
      </c>
      <c r="G134" t="s">
        <v>415</v>
      </c>
      <c r="H134">
        <v>2</v>
      </c>
      <c r="I134" t="s">
        <v>88</v>
      </c>
    </row>
    <row r="135" spans="1:9">
      <c r="A135">
        <v>102623</v>
      </c>
      <c r="B135">
        <v>58080</v>
      </c>
      <c r="C135" t="s">
        <v>53</v>
      </c>
      <c r="D135" t="s">
        <v>54</v>
      </c>
      <c r="E135">
        <v>138041</v>
      </c>
      <c r="F135" t="s">
        <v>46</v>
      </c>
      <c r="G135" t="s">
        <v>416</v>
      </c>
      <c r="H135">
        <v>3</v>
      </c>
      <c r="I135" t="s">
        <v>91</v>
      </c>
    </row>
    <row r="136" spans="1:9">
      <c r="A136">
        <v>100060</v>
      </c>
      <c r="B136">
        <v>58088</v>
      </c>
      <c r="C136" t="s">
        <v>336</v>
      </c>
      <c r="D136" t="s">
        <v>337</v>
      </c>
      <c r="E136">
        <v>1153</v>
      </c>
      <c r="F136" t="s">
        <v>137</v>
      </c>
      <c r="G136" t="s">
        <v>137</v>
      </c>
      <c r="H136">
        <v>4</v>
      </c>
      <c r="I136" t="s">
        <v>82</v>
      </c>
    </row>
    <row r="137" spans="1:9">
      <c r="A137">
        <v>100052</v>
      </c>
      <c r="B137">
        <v>58091</v>
      </c>
      <c r="C137" t="s">
        <v>338</v>
      </c>
      <c r="D137" t="s">
        <v>339</v>
      </c>
      <c r="E137">
        <v>11043</v>
      </c>
      <c r="F137" t="s">
        <v>81</v>
      </c>
      <c r="G137" t="s">
        <v>81</v>
      </c>
      <c r="H137">
        <v>4</v>
      </c>
      <c r="I137" t="s">
        <v>82</v>
      </c>
    </row>
    <row r="138" spans="1:9">
      <c r="A138">
        <v>103077</v>
      </c>
      <c r="B138">
        <v>58128</v>
      </c>
      <c r="C138" t="s">
        <v>340</v>
      </c>
      <c r="D138" t="s">
        <v>341</v>
      </c>
      <c r="E138">
        <v>7032</v>
      </c>
      <c r="F138" t="s">
        <v>238</v>
      </c>
      <c r="G138" t="s">
        <v>238</v>
      </c>
      <c r="H138">
        <v>3</v>
      </c>
      <c r="I138" t="s">
        <v>91</v>
      </c>
    </row>
    <row r="139" spans="1:9">
      <c r="A139">
        <v>103006</v>
      </c>
      <c r="B139">
        <v>58130</v>
      </c>
      <c r="C139" t="s">
        <v>342</v>
      </c>
      <c r="D139" t="s">
        <v>343</v>
      </c>
      <c r="E139">
        <v>563227</v>
      </c>
      <c r="F139" t="s">
        <v>41</v>
      </c>
      <c r="G139" t="s">
        <v>41</v>
      </c>
      <c r="H139">
        <v>1</v>
      </c>
      <c r="I139" t="s">
        <v>76</v>
      </c>
    </row>
    <row r="140" spans="1:9">
      <c r="A140">
        <v>100003</v>
      </c>
      <c r="B140">
        <v>58134</v>
      </c>
      <c r="C140" t="s">
        <v>344</v>
      </c>
      <c r="D140" t="s">
        <v>345</v>
      </c>
      <c r="E140">
        <v>35674</v>
      </c>
      <c r="F140" t="s">
        <v>85</v>
      </c>
      <c r="G140" t="s">
        <v>85</v>
      </c>
      <c r="H140">
        <v>3</v>
      </c>
      <c r="I140" t="s">
        <v>91</v>
      </c>
    </row>
    <row r="141" spans="1:9">
      <c r="A141">
        <v>102122</v>
      </c>
      <c r="B141">
        <v>58146</v>
      </c>
      <c r="C141" t="s">
        <v>346</v>
      </c>
      <c r="D141" t="s">
        <v>347</v>
      </c>
      <c r="E141">
        <v>12206</v>
      </c>
      <c r="F141" t="s">
        <v>238</v>
      </c>
      <c r="G141" t="s">
        <v>238</v>
      </c>
      <c r="H141">
        <v>3</v>
      </c>
      <c r="I141" t="s">
        <v>91</v>
      </c>
    </row>
    <row r="142" spans="1:9">
      <c r="A142">
        <v>103076</v>
      </c>
      <c r="B142">
        <v>58147</v>
      </c>
      <c r="C142" t="s">
        <v>348</v>
      </c>
      <c r="D142" t="s">
        <v>349</v>
      </c>
      <c r="E142">
        <v>7674</v>
      </c>
      <c r="F142" t="s">
        <v>81</v>
      </c>
      <c r="G142" t="s">
        <v>81</v>
      </c>
      <c r="H142">
        <v>4</v>
      </c>
      <c r="I142" t="s">
        <v>82</v>
      </c>
    </row>
    <row r="143" spans="1:9">
      <c r="A143">
        <v>103003</v>
      </c>
      <c r="B143">
        <v>58149</v>
      </c>
      <c r="C143" t="s">
        <v>350</v>
      </c>
      <c r="D143" t="s">
        <v>351</v>
      </c>
      <c r="E143">
        <v>90743</v>
      </c>
      <c r="F143" t="s">
        <v>85</v>
      </c>
      <c r="G143" t="s">
        <v>85</v>
      </c>
      <c r="H143">
        <v>2</v>
      </c>
      <c r="I143" t="s">
        <v>88</v>
      </c>
    </row>
    <row r="144" spans="1:9">
      <c r="A144">
        <v>100124</v>
      </c>
      <c r="B144">
        <v>58154</v>
      </c>
      <c r="C144" t="s">
        <v>352</v>
      </c>
      <c r="D144" t="s">
        <v>353</v>
      </c>
      <c r="E144">
        <v>175027</v>
      </c>
      <c r="F144" t="s">
        <v>81</v>
      </c>
      <c r="G144" t="s">
        <v>81</v>
      </c>
      <c r="H144">
        <v>3</v>
      </c>
      <c r="I144" t="s">
        <v>91</v>
      </c>
    </row>
    <row r="145" spans="1:9">
      <c r="A145">
        <v>102980</v>
      </c>
      <c r="B145">
        <v>58160</v>
      </c>
      <c r="C145" t="s">
        <v>354</v>
      </c>
      <c r="D145" t="s">
        <v>355</v>
      </c>
      <c r="E145">
        <v>680961</v>
      </c>
      <c r="F145" t="s">
        <v>41</v>
      </c>
      <c r="G145" t="s">
        <v>41</v>
      </c>
      <c r="H145">
        <v>0</v>
      </c>
      <c r="I145" t="s">
        <v>70</v>
      </c>
    </row>
    <row r="146" spans="1:9">
      <c r="A146">
        <v>102981</v>
      </c>
      <c r="B146">
        <v>58163</v>
      </c>
      <c r="C146" t="s">
        <v>356</v>
      </c>
      <c r="D146" t="s">
        <v>357</v>
      </c>
      <c r="E146">
        <v>307759</v>
      </c>
      <c r="F146" t="s">
        <v>85</v>
      </c>
      <c r="G146" t="s">
        <v>85</v>
      </c>
      <c r="H146">
        <v>2</v>
      </c>
      <c r="I146" t="s">
        <v>88</v>
      </c>
    </row>
    <row r="147" spans="1:9">
      <c r="A147">
        <v>103012</v>
      </c>
      <c r="B147">
        <v>58189</v>
      </c>
      <c r="C147" t="s">
        <v>358</v>
      </c>
      <c r="D147" t="s">
        <v>359</v>
      </c>
      <c r="E147">
        <v>200276</v>
      </c>
      <c r="F147" t="s">
        <v>41</v>
      </c>
      <c r="G147" t="s">
        <v>41</v>
      </c>
      <c r="H147">
        <v>1</v>
      </c>
      <c r="I147" t="s">
        <v>76</v>
      </c>
    </row>
    <row r="148" spans="1:9">
      <c r="A148">
        <v>100108</v>
      </c>
      <c r="B148">
        <v>58212</v>
      </c>
      <c r="C148" t="s">
        <v>360</v>
      </c>
      <c r="D148" t="s">
        <v>361</v>
      </c>
      <c r="E148">
        <v>7174</v>
      </c>
      <c r="F148" t="s">
        <v>85</v>
      </c>
      <c r="G148" t="s">
        <v>85</v>
      </c>
      <c r="H148">
        <v>3</v>
      </c>
      <c r="I148" t="s">
        <v>91</v>
      </c>
    </row>
    <row r="149" spans="1:9">
      <c r="A149">
        <v>100107</v>
      </c>
      <c r="B149">
        <v>58214</v>
      </c>
      <c r="C149" t="s">
        <v>362</v>
      </c>
      <c r="D149" t="s">
        <v>363</v>
      </c>
      <c r="E149">
        <v>703</v>
      </c>
      <c r="F149" t="s">
        <v>81</v>
      </c>
      <c r="G149" t="s">
        <v>81</v>
      </c>
      <c r="H149">
        <v>4</v>
      </c>
      <c r="I149" t="s">
        <v>82</v>
      </c>
    </row>
    <row r="150" spans="1:9">
      <c r="A150">
        <v>102123</v>
      </c>
      <c r="B150">
        <v>58235</v>
      </c>
      <c r="C150" t="s">
        <v>364</v>
      </c>
      <c r="D150" t="s">
        <v>365</v>
      </c>
      <c r="E150">
        <v>22933</v>
      </c>
      <c r="F150" t="s">
        <v>85</v>
      </c>
      <c r="G150" t="s">
        <v>419</v>
      </c>
      <c r="H150">
        <v>4</v>
      </c>
      <c r="I150" t="s">
        <v>82</v>
      </c>
    </row>
    <row r="151" spans="1:9">
      <c r="A151">
        <v>205866</v>
      </c>
      <c r="B151">
        <v>58294</v>
      </c>
      <c r="C151" t="s">
        <v>366</v>
      </c>
      <c r="D151" t="s">
        <v>367</v>
      </c>
      <c r="E151">
        <v>791</v>
      </c>
      <c r="F151" t="s">
        <v>81</v>
      </c>
      <c r="G151" t="s">
        <v>81</v>
      </c>
      <c r="H151">
        <v>2</v>
      </c>
      <c r="I151" t="s">
        <v>88</v>
      </c>
    </row>
    <row r="152" spans="1:9">
      <c r="A152">
        <v>103037</v>
      </c>
      <c r="B152">
        <v>58304</v>
      </c>
      <c r="C152" t="s">
        <v>368</v>
      </c>
      <c r="D152" t="s">
        <v>369</v>
      </c>
      <c r="E152">
        <v>902671</v>
      </c>
      <c r="F152" t="s">
        <v>85</v>
      </c>
      <c r="G152" t="s">
        <v>85</v>
      </c>
      <c r="H152">
        <v>1</v>
      </c>
      <c r="I152" t="s">
        <v>76</v>
      </c>
    </row>
    <row r="153" spans="1:9">
      <c r="A153">
        <v>102988</v>
      </c>
      <c r="B153">
        <v>58317</v>
      </c>
      <c r="C153" t="s">
        <v>370</v>
      </c>
      <c r="D153" t="s">
        <v>371</v>
      </c>
      <c r="E153">
        <v>196364</v>
      </c>
      <c r="F153" t="s">
        <v>46</v>
      </c>
      <c r="G153" t="s">
        <v>415</v>
      </c>
      <c r="H153">
        <v>2</v>
      </c>
      <c r="I153" t="s">
        <v>88</v>
      </c>
    </row>
    <row r="154" spans="1:9">
      <c r="A154">
        <v>103001</v>
      </c>
      <c r="B154">
        <v>58339</v>
      </c>
      <c r="C154" t="s">
        <v>372</v>
      </c>
      <c r="D154" t="s">
        <v>373</v>
      </c>
      <c r="E154">
        <v>446553</v>
      </c>
      <c r="F154" t="s">
        <v>41</v>
      </c>
      <c r="G154" t="s">
        <v>41</v>
      </c>
      <c r="H154">
        <v>3</v>
      </c>
      <c r="I154" t="s">
        <v>91</v>
      </c>
    </row>
    <row r="155" spans="1:9">
      <c r="A155">
        <v>102999</v>
      </c>
      <c r="B155">
        <v>58344</v>
      </c>
      <c r="C155" t="s">
        <v>374</v>
      </c>
      <c r="D155" t="s">
        <v>375</v>
      </c>
      <c r="E155">
        <v>784237</v>
      </c>
      <c r="F155" t="s">
        <v>41</v>
      </c>
      <c r="G155" t="s">
        <v>41</v>
      </c>
      <c r="H155">
        <v>0</v>
      </c>
      <c r="I155" t="s">
        <v>70</v>
      </c>
    </row>
    <row r="156" spans="1:9">
      <c r="A156">
        <v>102624</v>
      </c>
      <c r="B156">
        <v>58375</v>
      </c>
      <c r="C156" t="s">
        <v>376</v>
      </c>
      <c r="D156" t="s">
        <v>377</v>
      </c>
      <c r="E156">
        <v>135776</v>
      </c>
      <c r="F156" t="s">
        <v>41</v>
      </c>
      <c r="G156" t="s">
        <v>420</v>
      </c>
      <c r="H156">
        <v>3</v>
      </c>
      <c r="I156" t="s">
        <v>91</v>
      </c>
    </row>
    <row r="157" spans="1:9">
      <c r="A157">
        <v>100058</v>
      </c>
      <c r="B157">
        <v>58386</v>
      </c>
      <c r="C157" t="s">
        <v>378</v>
      </c>
      <c r="D157" t="s">
        <v>379</v>
      </c>
      <c r="E157">
        <v>41724</v>
      </c>
      <c r="F157" t="s">
        <v>46</v>
      </c>
      <c r="G157" t="s">
        <v>416</v>
      </c>
      <c r="H157">
        <v>2</v>
      </c>
      <c r="I157" t="s">
        <v>88</v>
      </c>
    </row>
    <row r="158" spans="1:9">
      <c r="A158">
        <v>102625</v>
      </c>
      <c r="B158">
        <v>58389</v>
      </c>
      <c r="C158" t="s">
        <v>380</v>
      </c>
      <c r="D158" t="s">
        <v>381</v>
      </c>
      <c r="E158">
        <v>140892</v>
      </c>
      <c r="F158" t="s">
        <v>46</v>
      </c>
      <c r="G158" t="s">
        <v>416</v>
      </c>
      <c r="H158">
        <v>2</v>
      </c>
      <c r="I158" t="s">
        <v>88</v>
      </c>
    </row>
    <row r="159" spans="1:9">
      <c r="A159">
        <v>103074</v>
      </c>
      <c r="B159">
        <v>58395</v>
      </c>
      <c r="C159" t="s">
        <v>382</v>
      </c>
      <c r="D159" t="s">
        <v>383</v>
      </c>
      <c r="E159">
        <v>642</v>
      </c>
      <c r="F159" t="s">
        <v>85</v>
      </c>
      <c r="G159" t="s">
        <v>85</v>
      </c>
      <c r="H159">
        <v>4</v>
      </c>
      <c r="I159" t="s">
        <v>82</v>
      </c>
    </row>
    <row r="160" spans="1:9">
      <c r="A160">
        <v>102993</v>
      </c>
      <c r="B160">
        <v>58400</v>
      </c>
      <c r="C160" t="s">
        <v>384</v>
      </c>
      <c r="D160" t="s">
        <v>385</v>
      </c>
      <c r="E160">
        <v>85353</v>
      </c>
      <c r="F160" t="s">
        <v>85</v>
      </c>
      <c r="G160" t="s">
        <v>85</v>
      </c>
      <c r="H160">
        <v>2</v>
      </c>
      <c r="I160" t="s">
        <v>88</v>
      </c>
    </row>
    <row r="161" spans="1:9">
      <c r="A161">
        <v>233849</v>
      </c>
      <c r="B161">
        <v>58423</v>
      </c>
      <c r="C161" t="s">
        <v>386</v>
      </c>
      <c r="D161" t="s">
        <v>387</v>
      </c>
      <c r="E161">
        <v>18037</v>
      </c>
      <c r="F161" t="s">
        <v>238</v>
      </c>
      <c r="G161" t="s">
        <v>238</v>
      </c>
      <c r="H161">
        <v>3</v>
      </c>
      <c r="I161" t="s">
        <v>91</v>
      </c>
    </row>
    <row r="162" spans="1:9">
      <c r="A162">
        <v>102990</v>
      </c>
      <c r="B162">
        <v>58448</v>
      </c>
      <c r="C162" t="s">
        <v>39</v>
      </c>
      <c r="D162" t="s">
        <v>40</v>
      </c>
      <c r="E162">
        <v>493462</v>
      </c>
      <c r="F162" t="s">
        <v>238</v>
      </c>
      <c r="G162" t="s">
        <v>238</v>
      </c>
      <c r="H162">
        <v>0</v>
      </c>
      <c r="I162" t="s">
        <v>70</v>
      </c>
    </row>
    <row r="163" spans="1:9">
      <c r="A163">
        <v>102987</v>
      </c>
      <c r="B163">
        <v>58492</v>
      </c>
      <c r="C163" t="s">
        <v>388</v>
      </c>
      <c r="D163" t="s">
        <v>389</v>
      </c>
      <c r="E163">
        <v>882452</v>
      </c>
      <c r="F163" t="s">
        <v>41</v>
      </c>
      <c r="G163" t="s">
        <v>41</v>
      </c>
      <c r="H163">
        <v>0</v>
      </c>
      <c r="I163" t="s">
        <v>70</v>
      </c>
    </row>
    <row r="164" spans="1:9">
      <c r="A164">
        <v>100010</v>
      </c>
      <c r="B164">
        <v>58503</v>
      </c>
      <c r="C164" t="s">
        <v>390</v>
      </c>
      <c r="D164" t="s">
        <v>391</v>
      </c>
      <c r="E164">
        <v>8478</v>
      </c>
      <c r="F164" t="s">
        <v>303</v>
      </c>
      <c r="G164" t="s">
        <v>422</v>
      </c>
      <c r="H164">
        <v>3</v>
      </c>
      <c r="I164" t="s">
        <v>91</v>
      </c>
    </row>
    <row r="165" spans="1:9">
      <c r="A165">
        <v>102120</v>
      </c>
      <c r="B165">
        <v>58510</v>
      </c>
      <c r="C165" t="s">
        <v>392</v>
      </c>
      <c r="D165" t="s">
        <v>393</v>
      </c>
      <c r="E165">
        <v>35619</v>
      </c>
      <c r="F165" t="s">
        <v>81</v>
      </c>
      <c r="G165" t="s">
        <v>81</v>
      </c>
      <c r="H165">
        <v>4</v>
      </c>
      <c r="I165" t="s">
        <v>82</v>
      </c>
    </row>
    <row r="166" spans="1:9">
      <c r="A166">
        <v>102984</v>
      </c>
      <c r="B166">
        <v>58514</v>
      </c>
      <c r="C166" t="s">
        <v>394</v>
      </c>
      <c r="D166" t="s">
        <v>395</v>
      </c>
      <c r="E166">
        <v>124443</v>
      </c>
      <c r="F166" t="s">
        <v>46</v>
      </c>
      <c r="G166" t="s">
        <v>415</v>
      </c>
      <c r="H166">
        <v>2</v>
      </c>
      <c r="I166" t="s">
        <v>88</v>
      </c>
    </row>
    <row r="167" spans="1:9">
      <c r="A167">
        <v>103051</v>
      </c>
      <c r="B167">
        <v>58537</v>
      </c>
      <c r="C167" t="s">
        <v>396</v>
      </c>
      <c r="D167" t="s">
        <v>397</v>
      </c>
      <c r="E167">
        <v>131394</v>
      </c>
      <c r="F167" t="s">
        <v>41</v>
      </c>
      <c r="G167" t="s">
        <v>41</v>
      </c>
      <c r="H167">
        <v>3</v>
      </c>
      <c r="I167" t="s">
        <v>91</v>
      </c>
    </row>
    <row r="168" spans="1:9">
      <c r="A168">
        <v>103042</v>
      </c>
      <c r="B168">
        <v>58553</v>
      </c>
      <c r="C168" t="s">
        <v>398</v>
      </c>
      <c r="D168" t="s">
        <v>399</v>
      </c>
      <c r="E168">
        <v>1058299</v>
      </c>
      <c r="F168" t="s">
        <v>85</v>
      </c>
      <c r="G168" t="s">
        <v>85</v>
      </c>
      <c r="H168">
        <v>1</v>
      </c>
      <c r="I168" t="s">
        <v>76</v>
      </c>
    </row>
    <row r="169" spans="1:9">
      <c r="A169">
        <v>102124</v>
      </c>
      <c r="B169">
        <v>58558</v>
      </c>
      <c r="C169" t="s">
        <v>400</v>
      </c>
      <c r="D169" t="s">
        <v>401</v>
      </c>
      <c r="E169">
        <v>111225</v>
      </c>
      <c r="F169" t="s">
        <v>238</v>
      </c>
      <c r="G169" t="s">
        <v>238</v>
      </c>
      <c r="H169">
        <v>4</v>
      </c>
      <c r="I169" t="s">
        <v>82</v>
      </c>
    </row>
    <row r="170" spans="1:9">
      <c r="A170">
        <v>103050</v>
      </c>
      <c r="B170">
        <v>58573</v>
      </c>
      <c r="C170" t="s">
        <v>402</v>
      </c>
      <c r="D170" t="s">
        <v>403</v>
      </c>
      <c r="E170">
        <v>77065</v>
      </c>
      <c r="F170" t="s">
        <v>46</v>
      </c>
      <c r="G170" t="s">
        <v>415</v>
      </c>
      <c r="H170">
        <v>2</v>
      </c>
      <c r="I170" t="s">
        <v>88</v>
      </c>
    </row>
    <row r="171" spans="1:9">
      <c r="A171">
        <v>100129</v>
      </c>
      <c r="B171">
        <v>58585</v>
      </c>
      <c r="C171" t="s">
        <v>404</v>
      </c>
      <c r="D171" t="s">
        <v>405</v>
      </c>
      <c r="E171">
        <v>10615</v>
      </c>
      <c r="F171" t="s">
        <v>81</v>
      </c>
      <c r="G171" t="s">
        <v>81</v>
      </c>
      <c r="H171">
        <v>4</v>
      </c>
      <c r="I171" t="s">
        <v>82</v>
      </c>
    </row>
    <row r="172" spans="1:9">
      <c r="A172">
        <v>100050</v>
      </c>
      <c r="B172">
        <v>58606</v>
      </c>
      <c r="C172" t="s">
        <v>406</v>
      </c>
      <c r="D172" t="s">
        <v>407</v>
      </c>
      <c r="E172">
        <v>2024</v>
      </c>
      <c r="F172" t="s">
        <v>85</v>
      </c>
      <c r="G172" t="s">
        <v>85</v>
      </c>
      <c r="H172">
        <v>4</v>
      </c>
      <c r="I172" t="s">
        <v>82</v>
      </c>
    </row>
    <row r="173" spans="1:9">
      <c r="A173">
        <v>100081</v>
      </c>
      <c r="B173">
        <v>58613</v>
      </c>
      <c r="C173" t="s">
        <v>408</v>
      </c>
      <c r="D173" t="s">
        <v>409</v>
      </c>
      <c r="E173">
        <v>11229</v>
      </c>
      <c r="F173" t="s">
        <v>81</v>
      </c>
      <c r="G173" t="s">
        <v>81</v>
      </c>
      <c r="H173">
        <v>3</v>
      </c>
      <c r="I173" t="s">
        <v>91</v>
      </c>
    </row>
    <row r="174" spans="1:9">
      <c r="A174">
        <v>102126</v>
      </c>
      <c r="B174">
        <v>58622</v>
      </c>
      <c r="C174" t="s">
        <v>410</v>
      </c>
      <c r="D174" t="s">
        <v>411</v>
      </c>
      <c r="E174">
        <v>29053</v>
      </c>
      <c r="F174" t="s">
        <v>412</v>
      </c>
      <c r="G174" t="s">
        <v>423</v>
      </c>
      <c r="H174">
        <v>3</v>
      </c>
      <c r="I174" t="s">
        <v>91</v>
      </c>
    </row>
    <row r="175" spans="1:9">
      <c r="A175">
        <v>103055</v>
      </c>
      <c r="B175">
        <v>58627</v>
      </c>
      <c r="C175" t="s">
        <v>413</v>
      </c>
      <c r="D175" t="s">
        <v>414</v>
      </c>
      <c r="E175">
        <v>768518</v>
      </c>
      <c r="F175" t="s">
        <v>41</v>
      </c>
      <c r="G175" t="s">
        <v>41</v>
      </c>
      <c r="H175">
        <v>1</v>
      </c>
      <c r="I175" t="s">
        <v>76</v>
      </c>
    </row>
  </sheetData>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04669-AB17-44FF-B6D0-0FCFB11F7288}">
  <sheetPr codeName="Blad5"/>
  <dimension ref="A1:B69"/>
  <sheetViews>
    <sheetView workbookViewId="0">
      <selection activeCell="D27" sqref="D27"/>
    </sheetView>
  </sheetViews>
  <sheetFormatPr defaultRowHeight="14.4"/>
  <cols>
    <col min="1" max="1" width="11.33203125" customWidth="1"/>
    <col min="2" max="2" width="34.44140625" customWidth="1"/>
  </cols>
  <sheetData>
    <row r="1" spans="1:2">
      <c r="A1" t="s">
        <v>481</v>
      </c>
      <c r="B1" t="s">
        <v>424</v>
      </c>
    </row>
    <row r="2" spans="1:2">
      <c r="A2">
        <v>1</v>
      </c>
      <c r="B2" t="s">
        <v>425</v>
      </c>
    </row>
    <row r="3" spans="1:2">
      <c r="A3">
        <v>2</v>
      </c>
      <c r="B3" t="s">
        <v>426</v>
      </c>
    </row>
    <row r="4" spans="1:2">
      <c r="A4">
        <v>3</v>
      </c>
      <c r="B4" t="s">
        <v>425</v>
      </c>
    </row>
    <row r="5" spans="1:2">
      <c r="A5">
        <v>4</v>
      </c>
      <c r="B5" t="s">
        <v>427</v>
      </c>
    </row>
    <row r="6" spans="1:2">
      <c r="A6">
        <v>5</v>
      </c>
      <c r="B6" t="s">
        <v>428</v>
      </c>
    </row>
    <row r="7" spans="1:2">
      <c r="A7">
        <v>6</v>
      </c>
      <c r="B7" t="s">
        <v>429</v>
      </c>
    </row>
    <row r="8" spans="1:2">
      <c r="A8">
        <v>7</v>
      </c>
      <c r="B8" t="s">
        <v>430</v>
      </c>
    </row>
    <row r="9" spans="1:2">
      <c r="A9">
        <v>8</v>
      </c>
      <c r="B9" t="s">
        <v>431</v>
      </c>
    </row>
    <row r="10" spans="1:2">
      <c r="A10">
        <v>9</v>
      </c>
      <c r="B10" t="s">
        <v>432</v>
      </c>
    </row>
    <row r="11" spans="1:2">
      <c r="A11">
        <v>10</v>
      </c>
      <c r="B11" t="s">
        <v>62</v>
      </c>
    </row>
    <row r="12" spans="1:2">
      <c r="A12">
        <v>11</v>
      </c>
      <c r="B12" t="s">
        <v>43</v>
      </c>
    </row>
    <row r="13" spans="1:2">
      <c r="A13">
        <v>12</v>
      </c>
      <c r="B13" t="s">
        <v>433</v>
      </c>
    </row>
    <row r="14" spans="1:2">
      <c r="A14">
        <v>13</v>
      </c>
      <c r="B14" t="s">
        <v>434</v>
      </c>
    </row>
    <row r="15" spans="1:2">
      <c r="A15">
        <v>14</v>
      </c>
      <c r="B15" t="s">
        <v>52</v>
      </c>
    </row>
    <row r="16" spans="1:2">
      <c r="A16">
        <v>15</v>
      </c>
      <c r="B16" t="s">
        <v>435</v>
      </c>
    </row>
    <row r="17" spans="1:2">
      <c r="A17">
        <v>16</v>
      </c>
      <c r="B17" t="s">
        <v>436</v>
      </c>
    </row>
    <row r="18" spans="1:2">
      <c r="A18">
        <v>17</v>
      </c>
      <c r="B18" t="s">
        <v>437</v>
      </c>
    </row>
    <row r="19" spans="1:2">
      <c r="A19">
        <v>18</v>
      </c>
      <c r="B19" t="s">
        <v>438</v>
      </c>
    </row>
    <row r="20" spans="1:2">
      <c r="A20">
        <v>19</v>
      </c>
      <c r="B20" t="s">
        <v>439</v>
      </c>
    </row>
    <row r="21" spans="1:2">
      <c r="A21">
        <v>20</v>
      </c>
      <c r="B21" t="s">
        <v>57</v>
      </c>
    </row>
    <row r="22" spans="1:2">
      <c r="A22">
        <v>21</v>
      </c>
      <c r="B22" t="s">
        <v>51</v>
      </c>
    </row>
    <row r="23" spans="1:2">
      <c r="A23">
        <v>22</v>
      </c>
      <c r="B23" t="s">
        <v>42</v>
      </c>
    </row>
    <row r="24" spans="1:2">
      <c r="A24">
        <v>23</v>
      </c>
      <c r="B24" t="s">
        <v>440</v>
      </c>
    </row>
    <row r="25" spans="1:2">
      <c r="A25">
        <v>24</v>
      </c>
      <c r="B25" t="s">
        <v>441</v>
      </c>
    </row>
    <row r="26" spans="1:2">
      <c r="A26">
        <v>25</v>
      </c>
      <c r="B26" t="s">
        <v>442</v>
      </c>
    </row>
    <row r="27" spans="1:2">
      <c r="A27">
        <v>26</v>
      </c>
      <c r="B27" t="s">
        <v>443</v>
      </c>
    </row>
    <row r="28" spans="1:2">
      <c r="A28">
        <v>27</v>
      </c>
      <c r="B28" t="s">
        <v>444</v>
      </c>
    </row>
    <row r="29" spans="1:2">
      <c r="A29">
        <v>28</v>
      </c>
      <c r="B29" t="s">
        <v>445</v>
      </c>
    </row>
    <row r="30" spans="1:2">
      <c r="A30">
        <v>29</v>
      </c>
      <c r="B30" t="s">
        <v>446</v>
      </c>
    </row>
    <row r="31" spans="1:2">
      <c r="A31">
        <v>30</v>
      </c>
      <c r="B31" t="s">
        <v>447</v>
      </c>
    </row>
    <row r="32" spans="1:2">
      <c r="A32">
        <v>31</v>
      </c>
      <c r="B32" t="s">
        <v>448</v>
      </c>
    </row>
    <row r="33" spans="1:2">
      <c r="A33">
        <v>32</v>
      </c>
      <c r="B33" t="s">
        <v>449</v>
      </c>
    </row>
    <row r="34" spans="1:2">
      <c r="A34">
        <v>33</v>
      </c>
      <c r="B34" t="s">
        <v>450</v>
      </c>
    </row>
    <row r="35" spans="1:2">
      <c r="A35">
        <v>34</v>
      </c>
      <c r="B35" t="s">
        <v>451</v>
      </c>
    </row>
    <row r="36" spans="1:2">
      <c r="A36">
        <v>35</v>
      </c>
      <c r="B36" t="s">
        <v>452</v>
      </c>
    </row>
    <row r="37" spans="1:2">
      <c r="A37">
        <v>36</v>
      </c>
      <c r="B37" t="s">
        <v>453</v>
      </c>
    </row>
    <row r="38" spans="1:2">
      <c r="A38">
        <v>37</v>
      </c>
      <c r="B38" t="s">
        <v>454</v>
      </c>
    </row>
    <row r="39" spans="1:2">
      <c r="A39">
        <v>38</v>
      </c>
      <c r="B39" t="s">
        <v>455</v>
      </c>
    </row>
    <row r="40" spans="1:2">
      <c r="A40">
        <v>39</v>
      </c>
      <c r="B40" t="s">
        <v>456</v>
      </c>
    </row>
    <row r="41" spans="1:2">
      <c r="A41">
        <v>40</v>
      </c>
      <c r="B41" t="s">
        <v>457</v>
      </c>
    </row>
    <row r="42" spans="1:2">
      <c r="A42">
        <v>41</v>
      </c>
      <c r="B42" t="s">
        <v>458</v>
      </c>
    </row>
    <row r="43" spans="1:2">
      <c r="A43">
        <v>42</v>
      </c>
      <c r="B43" t="s">
        <v>459</v>
      </c>
    </row>
    <row r="44" spans="1:2">
      <c r="A44">
        <v>43</v>
      </c>
      <c r="B44" t="s">
        <v>460</v>
      </c>
    </row>
    <row r="45" spans="1:2">
      <c r="A45">
        <v>44</v>
      </c>
      <c r="B45" t="s">
        <v>461</v>
      </c>
    </row>
    <row r="46" spans="1:2">
      <c r="A46">
        <v>45</v>
      </c>
      <c r="B46" t="s">
        <v>462</v>
      </c>
    </row>
    <row r="47" spans="1:2">
      <c r="A47">
        <v>46</v>
      </c>
      <c r="B47" t="s">
        <v>463</v>
      </c>
    </row>
    <row r="48" spans="1:2">
      <c r="A48">
        <v>47</v>
      </c>
      <c r="B48" t="s">
        <v>464</v>
      </c>
    </row>
    <row r="49" spans="1:2">
      <c r="A49">
        <v>48</v>
      </c>
      <c r="B49" t="s">
        <v>463</v>
      </c>
    </row>
    <row r="50" spans="1:2">
      <c r="A50">
        <v>49</v>
      </c>
      <c r="B50" t="s">
        <v>465</v>
      </c>
    </row>
    <row r="51" spans="1:2">
      <c r="A51">
        <v>50</v>
      </c>
      <c r="B51" t="s">
        <v>463</v>
      </c>
    </row>
    <row r="52" spans="1:2">
      <c r="A52">
        <v>51</v>
      </c>
      <c r="B52" t="s">
        <v>466</v>
      </c>
    </row>
    <row r="53" spans="1:2">
      <c r="A53">
        <v>52</v>
      </c>
      <c r="B53" t="s">
        <v>463</v>
      </c>
    </row>
    <row r="54" spans="1:2">
      <c r="A54">
        <v>53</v>
      </c>
      <c r="B54" t="s">
        <v>467</v>
      </c>
    </row>
    <row r="55" spans="1:2">
      <c r="A55">
        <v>54</v>
      </c>
      <c r="B55" t="s">
        <v>468</v>
      </c>
    </row>
    <row r="56" spans="1:2">
      <c r="A56">
        <v>55</v>
      </c>
      <c r="B56" t="s">
        <v>463</v>
      </c>
    </row>
    <row r="57" spans="1:2">
      <c r="A57">
        <v>56</v>
      </c>
      <c r="B57" t="s">
        <v>469</v>
      </c>
    </row>
    <row r="58" spans="1:2">
      <c r="A58">
        <v>57</v>
      </c>
      <c r="B58" t="s">
        <v>463</v>
      </c>
    </row>
    <row r="59" spans="1:2">
      <c r="A59">
        <v>58</v>
      </c>
      <c r="B59" t="s">
        <v>470</v>
      </c>
    </row>
    <row r="60" spans="1:2">
      <c r="A60">
        <v>59</v>
      </c>
      <c r="B60" t="s">
        <v>471</v>
      </c>
    </row>
    <row r="61" spans="1:2">
      <c r="A61">
        <v>60</v>
      </c>
      <c r="B61" t="s">
        <v>472</v>
      </c>
    </row>
    <row r="62" spans="1:2">
      <c r="A62">
        <v>61</v>
      </c>
      <c r="B62" t="s">
        <v>473</v>
      </c>
    </row>
    <row r="63" spans="1:2">
      <c r="A63">
        <v>62</v>
      </c>
      <c r="B63" t="s">
        <v>474</v>
      </c>
    </row>
    <row r="64" spans="1:2">
      <c r="A64">
        <v>63</v>
      </c>
      <c r="B64" t="s">
        <v>475</v>
      </c>
    </row>
    <row r="65" spans="1:2">
      <c r="A65">
        <v>64</v>
      </c>
      <c r="B65" t="s">
        <v>476</v>
      </c>
    </row>
    <row r="66" spans="1:2">
      <c r="A66">
        <v>65</v>
      </c>
      <c r="B66" t="s">
        <v>477</v>
      </c>
    </row>
    <row r="67" spans="1:2">
      <c r="A67">
        <v>66</v>
      </c>
      <c r="B67" t="s">
        <v>478</v>
      </c>
    </row>
    <row r="68" spans="1:2">
      <c r="A68">
        <v>67</v>
      </c>
      <c r="B68" t="s">
        <v>479</v>
      </c>
    </row>
    <row r="69" spans="1:2">
      <c r="A69">
        <v>68</v>
      </c>
      <c r="B69" t="s">
        <v>480</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49195D0D109A64EA4341278C9DC1C2E" ma:contentTypeVersion="18" ma:contentTypeDescription="Skapa ett nytt dokument." ma:contentTypeScope="" ma:versionID="d7be1cac160c08c4154169ea08142de2">
  <xsd:schema xmlns:xsd="http://www.w3.org/2001/XMLSchema" xmlns:xs="http://www.w3.org/2001/XMLSchema" xmlns:p="http://schemas.microsoft.com/office/2006/metadata/properties" xmlns:ns2="03de6315-19e3-4dd9-af0b-a15717c2f6a0" xmlns:ns3="5f21e86a-f298-4cf0-8918-1c4b1d374765" targetNamespace="http://schemas.microsoft.com/office/2006/metadata/properties" ma:root="true" ma:fieldsID="0ce9645269c309084fabfdd8699d3fa4" ns2:_="" ns3:_="">
    <xsd:import namespace="03de6315-19e3-4dd9-af0b-a15717c2f6a0"/>
    <xsd:import namespace="5f21e86a-f298-4cf0-8918-1c4b1d37476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de6315-19e3-4dd9-af0b-a15717c2f6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Bildmarkeringar" ma:readOnly="false" ma:fieldId="{5cf76f15-5ced-4ddc-b409-7134ff3c332f}" ma:taxonomyMulti="true" ma:sspId="4c49494c-fa4f-4786-82d6-3636b8a7fd93"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21e86a-f298-4cf0-8918-1c4b1d374765" elementFormDefault="qualified">
    <xsd:import namespace="http://schemas.microsoft.com/office/2006/documentManagement/types"/>
    <xsd:import namespace="http://schemas.microsoft.com/office/infopath/2007/PartnerControls"/>
    <xsd:element name="SharedWithUsers" ma:index="10" nillable="true" ma:displayName="Dela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at med information" ma:internalName="SharedWithDetails" ma:readOnly="true">
      <xsd:simpleType>
        <xsd:restriction base="dms:Note">
          <xsd:maxLength value="255"/>
        </xsd:restriction>
      </xsd:simpleType>
    </xsd:element>
    <xsd:element name="TaxCatchAll" ma:index="22" nillable="true" ma:displayName="Taxonomy Catch All Column" ma:hidden="true" ma:list="{a64e692e-52e1-46a4-9850-43124233ab05}" ma:internalName="TaxCatchAll" ma:showField="CatchAllData" ma:web="5f21e86a-f298-4cf0-8918-1c4b1d3747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ehållstyp"/>
        <xsd:element ref="dc:title" minOccurs="0" maxOccurs="1" ma:index="4"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f21e86a-f298-4cf0-8918-1c4b1d374765" xsi:nil="true"/>
    <lcf76f155ced4ddcb4097134ff3c332f xmlns="03de6315-19e3-4dd9-af0b-a15717c2f6a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21BD49-1441-465A-9282-D7A5CA5EAF1B}">
  <ds:schemaRefs>
    <ds:schemaRef ds:uri="http://schemas.microsoft.com/sharepoint/v3/contenttype/forms"/>
  </ds:schemaRefs>
</ds:datastoreItem>
</file>

<file path=customXml/itemProps2.xml><?xml version="1.0" encoding="utf-8"?>
<ds:datastoreItem xmlns:ds="http://schemas.openxmlformats.org/officeDocument/2006/customXml" ds:itemID="{B0BB1498-3DFF-4C4C-A3FE-F632B897E8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de6315-19e3-4dd9-af0b-a15717c2f6a0"/>
    <ds:schemaRef ds:uri="5f21e86a-f298-4cf0-8918-1c4b1d3747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7ED8C2-63F0-4617-A89C-9A3E9FECA9F8}">
  <ds:schemaRefs>
    <ds:schemaRef ds:uri="http://purl.org/dc/elements/1.1/"/>
    <ds:schemaRef ds:uri="5f21e86a-f298-4cf0-8918-1c4b1d374765"/>
    <ds:schemaRef ds:uri="http://purl.org/dc/dcmitype/"/>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03de6315-19e3-4dd9-af0b-a15717c2f6a0"/>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Kalkylblad</vt:lpstr>
      </vt:variant>
      <vt:variant>
        <vt:i4>5</vt:i4>
      </vt:variant>
    </vt:vector>
  </HeadingPairs>
  <TitlesOfParts>
    <vt:vector size="5" baseType="lpstr">
      <vt:lpstr>INSTRUKTIONER</vt:lpstr>
      <vt:lpstr>Rapporttabell</vt:lpstr>
      <vt:lpstr>Observations</vt:lpstr>
      <vt:lpstr>Skåne_NVR_arter</vt:lpstr>
      <vt:lpstr>Aktiviteter</vt:lpstr>
    </vt:vector>
  </TitlesOfParts>
  <Company>SLU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keywords>EPPlus noncommercial use</cp:keywords>
  <dc:description>This workbook has been created with EPPlus licensed to SLU under The Polyform Noncommercial License: See https://polyformproject.org/licenses/noncommercial/1.0.0</dc:description>
  <cp:lastModifiedBy>Olof Åström</cp:lastModifiedBy>
  <dcterms:created xsi:type="dcterms:W3CDTF">2026-04-07T15:13:42Z</dcterms:created>
  <dcterms:modified xsi:type="dcterms:W3CDTF">2026-04-08T14:14:35Z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0x010100349195D0D109A64EA4341278C9DC1C2E</vt:lpwstr>
  </property>
  <property fmtid="{D5CDD505-2E9C-101B-9397-08002B2CF9AE}" pid="3" name="MediaServiceImageTags">
    <vt:lpwstr/>
  </property>
</Properties>
</file>